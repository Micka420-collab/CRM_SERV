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Centredesupport/Documents partages/3150/LOCATION/Télépones Portable/"/>
    </mc:Choice>
  </mc:AlternateContent>
  <xr:revisionPtr revIDLastSave="0" documentId="8_{D184D8A9-6D8D-49E8-9C2A-3BBC60F5779D}" xr6:coauthVersionLast="47" xr6:coauthVersionMax="47" xr10:uidLastSave="{00000000-0000-0000-0000-000000000000}"/>
  <bookViews>
    <workbookView xWindow="28680" yWindow="-120" windowWidth="29040" windowHeight="15720" firstSheet="9" activeTab="4" xr2:uid="{00000000-000D-0000-FFFF-FFFF00000000}"/>
  </bookViews>
  <sheets>
    <sheet name="Base Mois" sheetId="42" state="hidden" r:id="rId1"/>
    <sheet name="Référence Téléphonique" sheetId="44" r:id="rId2"/>
    <sheet name="Base_numéro" sheetId="46" state="hidden" r:id="rId3"/>
    <sheet name="Base Janvier" sheetId="18" state="hidden" r:id="rId4"/>
    <sheet name="Janvier" sheetId="16" r:id="rId5"/>
    <sheet name="Base Février" sheetId="47" state="hidden" r:id="rId6"/>
    <sheet name="Février" sheetId="48" r:id="rId7"/>
    <sheet name="Base Mars" sheetId="49" state="hidden" r:id="rId8"/>
    <sheet name="Base Avril" sheetId="51" state="hidden" r:id="rId9"/>
    <sheet name="Mars" sheetId="50" r:id="rId10"/>
    <sheet name="Avril" sheetId="52" r:id="rId11"/>
    <sheet name="Base Mai" sheetId="53" state="hidden" r:id="rId12"/>
    <sheet name="Mai" sheetId="54" r:id="rId13"/>
    <sheet name="Base Juin" sheetId="55" state="hidden" r:id="rId14"/>
    <sheet name="Juin" sheetId="56" r:id="rId15"/>
    <sheet name="Base Juillet" sheetId="57" state="hidden" r:id="rId16"/>
    <sheet name="Juillet" sheetId="58" r:id="rId17"/>
    <sheet name="Base Août" sheetId="59" state="hidden" r:id="rId18"/>
    <sheet name="Août" sheetId="60" r:id="rId19"/>
    <sheet name="Base Septembre" sheetId="61" state="hidden" r:id="rId20"/>
    <sheet name="Septembre" sheetId="62" r:id="rId21"/>
    <sheet name="Base Octobre" sheetId="63" state="hidden" r:id="rId22"/>
    <sheet name="Octobre" sheetId="64" r:id="rId23"/>
    <sheet name="Base Novembre" sheetId="65" state="hidden" r:id="rId24"/>
    <sheet name="Base Décembre" sheetId="67" state="hidden" r:id="rId25"/>
    <sheet name="Novembre" sheetId="66" r:id="rId26"/>
    <sheet name="Décembre" sheetId="68" r:id="rId27"/>
  </sheets>
  <definedNames>
    <definedName name="_xlnm._FilterDatabase" localSheetId="18" hidden="1">Août!$B$4:$B$20</definedName>
    <definedName name="_xlnm._FilterDatabase" localSheetId="10" hidden="1">Avril!$B$4:$B$20</definedName>
    <definedName name="_xlnm._FilterDatabase" localSheetId="17" hidden="1">'Base Août'!$A$1:$E$15</definedName>
    <definedName name="_xlnm._FilterDatabase" localSheetId="8" hidden="1">'Base Avril'!$A$1:$E$15</definedName>
    <definedName name="_xlnm._FilterDatabase" localSheetId="24" hidden="1">'Base Décembre'!$A$1:$E$15</definedName>
    <definedName name="_xlnm._FilterDatabase" localSheetId="5" hidden="1">'Base Février'!$A$1:$E$15</definedName>
    <definedName name="_xlnm._FilterDatabase" localSheetId="3" hidden="1">'Base Janvier'!$A$1:$E$15</definedName>
    <definedName name="_xlnm._FilterDatabase" localSheetId="15" hidden="1">'Base Juillet'!$A$1:$E$15</definedName>
    <definedName name="_xlnm._FilterDatabase" localSheetId="13" hidden="1">'Base Juin'!$A$1:$E$15</definedName>
    <definedName name="_xlnm._FilterDatabase" localSheetId="11" hidden="1">'Base Mai'!$A$1:$E$15</definedName>
    <definedName name="_xlnm._FilterDatabase" localSheetId="7" hidden="1">'Base Mars'!$A$1:$E$15</definedName>
    <definedName name="_xlnm._FilterDatabase" localSheetId="23" hidden="1">'Base Novembre'!$A$1:$E$15</definedName>
    <definedName name="_xlnm._FilterDatabase" localSheetId="21" hidden="1">'Base Octobre'!$A$1:$E$15</definedName>
    <definedName name="_xlnm._FilterDatabase" localSheetId="19" hidden="1">'Base Septembre'!$A$1:$E$15</definedName>
    <definedName name="_xlnm._FilterDatabase" localSheetId="26" hidden="1">Décembre!$B$4:$B$20</definedName>
    <definedName name="_xlnm._FilterDatabase" localSheetId="6" hidden="1">Février!$B$4:$B$20</definedName>
    <definedName name="_xlnm._FilterDatabase" localSheetId="4" hidden="1">Janvier!$B$4:$B$20</definedName>
    <definedName name="_xlnm._FilterDatabase" localSheetId="16" hidden="1">Juillet!$B$4:$B$20</definedName>
    <definedName name="_xlnm._FilterDatabase" localSheetId="14" hidden="1">Juin!$B$4:$B$20</definedName>
    <definedName name="_xlnm._FilterDatabase" localSheetId="12" hidden="1">Mai!$B$4:$B$20</definedName>
    <definedName name="_xlnm._FilterDatabase" localSheetId="9" hidden="1">Mars!$B$4:$B$20</definedName>
    <definedName name="_xlnm._FilterDatabase" localSheetId="25" hidden="1">Novembre!$B$4:$B$20</definedName>
    <definedName name="_xlnm._FilterDatabase" localSheetId="22" hidden="1">Octobre!$B$4:$B$20</definedName>
    <definedName name="_xlnm._FilterDatabase" localSheetId="20" hidden="1">Septembre!$B$4:$B$20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8" l="1"/>
  <c r="C7" i="68"/>
  <c r="C11" i="68"/>
  <c r="C5" i="68"/>
  <c r="C10" i="56"/>
  <c r="C8" i="58"/>
  <c r="C5" i="58"/>
  <c r="C6" i="58"/>
  <c r="C8" i="54"/>
  <c r="C9" i="56"/>
  <c r="C8" i="56"/>
  <c r="C6" i="56"/>
  <c r="C6" i="54"/>
  <c r="C5" i="54"/>
  <c r="C6" i="52"/>
  <c r="C5" i="52"/>
  <c r="C6" i="50"/>
  <c r="C5" i="50"/>
  <c r="C6" i="48"/>
  <c r="C5" i="48"/>
  <c r="C6" i="68"/>
  <c r="D3" i="57"/>
  <c r="A3" i="57" s="1"/>
  <c r="D4" i="57"/>
  <c r="A4" i="57" s="1"/>
  <c r="D5" i="57"/>
  <c r="A5" i="57" s="1"/>
  <c r="D6" i="57"/>
  <c r="A6" i="57" s="1"/>
  <c r="D7" i="57"/>
  <c r="A7" i="57" s="1"/>
  <c r="D8" i="57"/>
  <c r="A8" i="57" s="1"/>
  <c r="D9" i="57"/>
  <c r="A9" i="57" s="1"/>
  <c r="D10" i="57"/>
  <c r="A10" i="57" s="1"/>
  <c r="D11" i="57"/>
  <c r="A11" i="57" s="1"/>
  <c r="D12" i="57"/>
  <c r="A12" i="57" s="1"/>
  <c r="D13" i="57"/>
  <c r="A13" i="57" s="1"/>
  <c r="D14" i="57"/>
  <c r="A14" i="57" s="1"/>
  <c r="D15" i="57"/>
  <c r="A15" i="57" s="1"/>
  <c r="D16" i="57"/>
  <c r="A16" i="57" s="1"/>
  <c r="D17" i="57"/>
  <c r="A17" i="57" s="1"/>
  <c r="D18" i="57"/>
  <c r="A18" i="57" s="1"/>
  <c r="D19" i="57"/>
  <c r="A19" i="57" s="1"/>
  <c r="D20" i="57"/>
  <c r="A20" i="57" s="1"/>
  <c r="D21" i="57"/>
  <c r="A21" i="57" s="1"/>
  <c r="D22" i="57"/>
  <c r="A22" i="57" s="1"/>
  <c r="D2" i="57"/>
  <c r="A2" i="57" s="1"/>
  <c r="D22" i="59"/>
  <c r="A22" i="59" s="1"/>
  <c r="D3" i="59"/>
  <c r="A3" i="59" s="1"/>
  <c r="D4" i="59"/>
  <c r="A4" i="59" s="1"/>
  <c r="D5" i="59"/>
  <c r="D6" i="59"/>
  <c r="A6" i="59" s="1"/>
  <c r="D7" i="59"/>
  <c r="A7" i="59" s="1"/>
  <c r="D8" i="59"/>
  <c r="A8" i="59" s="1"/>
  <c r="D9" i="59"/>
  <c r="D10" i="59"/>
  <c r="A10" i="59" s="1"/>
  <c r="D11" i="59"/>
  <c r="A11" i="59" s="1"/>
  <c r="D12" i="59"/>
  <c r="A12" i="59" s="1"/>
  <c r="D13" i="59"/>
  <c r="D14" i="59"/>
  <c r="A14" i="59" s="1"/>
  <c r="D15" i="59"/>
  <c r="A15" i="59" s="1"/>
  <c r="D16" i="59"/>
  <c r="A16" i="59" s="1"/>
  <c r="D17" i="59"/>
  <c r="D18" i="59"/>
  <c r="A18" i="59" s="1"/>
  <c r="D19" i="59"/>
  <c r="A19" i="59" s="1"/>
  <c r="D20" i="59"/>
  <c r="A20" i="59" s="1"/>
  <c r="D21" i="59"/>
  <c r="D2" i="59"/>
  <c r="A2" i="59" s="1"/>
  <c r="D3" i="67"/>
  <c r="A3" i="67" s="1"/>
  <c r="D4" i="67"/>
  <c r="D5" i="67"/>
  <c r="A5" i="67" s="1"/>
  <c r="D6" i="67"/>
  <c r="D7" i="67"/>
  <c r="D8" i="67"/>
  <c r="A8" i="67" s="1"/>
  <c r="D9" i="67"/>
  <c r="A9" i="67" s="1"/>
  <c r="D10" i="67"/>
  <c r="A10" i="67" s="1"/>
  <c r="D11" i="67"/>
  <c r="A11" i="67" s="1"/>
  <c r="D12" i="67"/>
  <c r="A12" i="67" s="1"/>
  <c r="D13" i="67"/>
  <c r="A13" i="67" s="1"/>
  <c r="D14" i="67"/>
  <c r="A14" i="67" s="1"/>
  <c r="D15" i="67"/>
  <c r="A15" i="67" s="1"/>
  <c r="D16" i="67"/>
  <c r="A16" i="67" s="1"/>
  <c r="D17" i="67"/>
  <c r="A17" i="67" s="1"/>
  <c r="D18" i="67"/>
  <c r="A18" i="67" s="1"/>
  <c r="D19" i="67"/>
  <c r="A19" i="67" s="1"/>
  <c r="D20" i="67"/>
  <c r="A20" i="67" s="1"/>
  <c r="D21" i="67"/>
  <c r="A21" i="67" s="1"/>
  <c r="D22" i="67"/>
  <c r="A22" i="67" s="1"/>
  <c r="D2" i="67"/>
  <c r="A2" i="67" s="1"/>
  <c r="C20" i="68"/>
  <c r="C19" i="68"/>
  <c r="C18" i="68"/>
  <c r="C17" i="68"/>
  <c r="C16" i="68"/>
  <c r="C15" i="68"/>
  <c r="C14" i="68"/>
  <c r="C13" i="68"/>
  <c r="C12" i="68"/>
  <c r="C10" i="68"/>
  <c r="C9" i="68"/>
  <c r="C8" i="68"/>
  <c r="A7" i="67"/>
  <c r="A6" i="67"/>
  <c r="A4" i="67"/>
  <c r="D3" i="65"/>
  <c r="D4" i="65"/>
  <c r="A4" i="65" s="1"/>
  <c r="D5" i="65"/>
  <c r="A5" i="65" s="1"/>
  <c r="D6" i="65"/>
  <c r="A6" i="65" s="1"/>
  <c r="D7" i="65"/>
  <c r="A7" i="65" s="1"/>
  <c r="D8" i="65"/>
  <c r="A8" i="65" s="1"/>
  <c r="D9" i="65"/>
  <c r="A9" i="65" s="1"/>
  <c r="D10" i="65"/>
  <c r="A10" i="65" s="1"/>
  <c r="D11" i="65"/>
  <c r="A11" i="65" s="1"/>
  <c r="D12" i="65"/>
  <c r="A12" i="65" s="1"/>
  <c r="D13" i="65"/>
  <c r="A13" i="65" s="1"/>
  <c r="D14" i="65"/>
  <c r="A14" i="65" s="1"/>
  <c r="D15" i="65"/>
  <c r="A15" i="65" s="1"/>
  <c r="D16" i="65"/>
  <c r="A16" i="65" s="1"/>
  <c r="D17" i="65"/>
  <c r="A17" i="65" s="1"/>
  <c r="D18" i="65"/>
  <c r="A18" i="65" s="1"/>
  <c r="D19" i="65"/>
  <c r="A19" i="65" s="1"/>
  <c r="D20" i="65"/>
  <c r="A20" i="65" s="1"/>
  <c r="D21" i="65"/>
  <c r="A21" i="65" s="1"/>
  <c r="D22" i="65"/>
  <c r="A22" i="65" s="1"/>
  <c r="D2" i="65"/>
  <c r="A2" i="65" s="1"/>
  <c r="C20" i="66"/>
  <c r="C19" i="66"/>
  <c r="C18" i="66"/>
  <c r="C17" i="66"/>
  <c r="C16" i="66"/>
  <c r="C15" i="66"/>
  <c r="C14" i="66"/>
  <c r="C13" i="66"/>
  <c r="C12" i="66"/>
  <c r="C11" i="66"/>
  <c r="C10" i="66"/>
  <c r="C9" i="66"/>
  <c r="C8" i="66"/>
  <c r="C7" i="66"/>
  <c r="C6" i="66"/>
  <c r="C5" i="66"/>
  <c r="A3" i="65"/>
  <c r="D3" i="63"/>
  <c r="D4" i="63"/>
  <c r="A4" i="63" s="1"/>
  <c r="D5" i="63"/>
  <c r="D6" i="63"/>
  <c r="A6" i="63" s="1"/>
  <c r="D7" i="63"/>
  <c r="A7" i="63" s="1"/>
  <c r="D8" i="63"/>
  <c r="A8" i="63" s="1"/>
  <c r="D9" i="63"/>
  <c r="D10" i="63"/>
  <c r="A10" i="63" s="1"/>
  <c r="D11" i="63"/>
  <c r="D12" i="63"/>
  <c r="A12" i="63" s="1"/>
  <c r="D13" i="63"/>
  <c r="D14" i="63"/>
  <c r="A14" i="63" s="1"/>
  <c r="D15" i="63"/>
  <c r="A15" i="63" s="1"/>
  <c r="D16" i="63"/>
  <c r="A16" i="63" s="1"/>
  <c r="D17" i="63"/>
  <c r="D18" i="63"/>
  <c r="A18" i="63" s="1"/>
  <c r="D19" i="63"/>
  <c r="A19" i="63" s="1"/>
  <c r="D20" i="63"/>
  <c r="A20" i="63" s="1"/>
  <c r="D21" i="63"/>
  <c r="A21" i="63" s="1"/>
  <c r="D22" i="63"/>
  <c r="A22" i="63" s="1"/>
  <c r="D2" i="63"/>
  <c r="A2" i="63" s="1"/>
  <c r="C20" i="64"/>
  <c r="C19" i="64"/>
  <c r="C18" i="64"/>
  <c r="C17" i="64"/>
  <c r="C16" i="64"/>
  <c r="C15" i="64"/>
  <c r="C14" i="64"/>
  <c r="C13" i="64"/>
  <c r="C12" i="64"/>
  <c r="C11" i="64"/>
  <c r="C10" i="64"/>
  <c r="C9" i="64"/>
  <c r="C8" i="64"/>
  <c r="C7" i="64"/>
  <c r="C6" i="64"/>
  <c r="C5" i="64"/>
  <c r="A17" i="63"/>
  <c r="A13" i="63"/>
  <c r="A11" i="63"/>
  <c r="A9" i="63"/>
  <c r="A5" i="63"/>
  <c r="A3" i="63"/>
  <c r="D3" i="61"/>
  <c r="A3" i="61" s="1"/>
  <c r="D4" i="61"/>
  <c r="D5" i="61"/>
  <c r="A5" i="61" s="1"/>
  <c r="D6" i="61"/>
  <c r="A6" i="61" s="1"/>
  <c r="D7" i="61"/>
  <c r="A7" i="61" s="1"/>
  <c r="D8" i="61"/>
  <c r="A8" i="61" s="1"/>
  <c r="D9" i="61"/>
  <c r="D10" i="61"/>
  <c r="A10" i="61" s="1"/>
  <c r="D11" i="61"/>
  <c r="A11" i="61" s="1"/>
  <c r="D12" i="61"/>
  <c r="D13" i="61"/>
  <c r="A13" i="61" s="1"/>
  <c r="D14" i="61"/>
  <c r="A14" i="61" s="1"/>
  <c r="D15" i="61"/>
  <c r="A15" i="61" s="1"/>
  <c r="D16" i="61"/>
  <c r="A16" i="61" s="1"/>
  <c r="D17" i="61"/>
  <c r="D18" i="61"/>
  <c r="A18" i="61" s="1"/>
  <c r="D19" i="61"/>
  <c r="A19" i="61" s="1"/>
  <c r="D20" i="61"/>
  <c r="A20" i="61" s="1"/>
  <c r="D21" i="61"/>
  <c r="A21" i="61" s="1"/>
  <c r="D22" i="61"/>
  <c r="A22" i="61" s="1"/>
  <c r="D2" i="61"/>
  <c r="A2" i="61" s="1"/>
  <c r="C20" i="62"/>
  <c r="C19" i="62"/>
  <c r="C18" i="62"/>
  <c r="C17" i="62"/>
  <c r="C16" i="62"/>
  <c r="C15" i="62"/>
  <c r="C14" i="62"/>
  <c r="C13" i="62"/>
  <c r="C12" i="62"/>
  <c r="C11" i="62"/>
  <c r="C10" i="62"/>
  <c r="C9" i="62"/>
  <c r="C8" i="62"/>
  <c r="C7" i="62"/>
  <c r="C6" i="62"/>
  <c r="C5" i="62"/>
  <c r="A17" i="61"/>
  <c r="A12" i="61"/>
  <c r="A9" i="61"/>
  <c r="A4" i="61"/>
  <c r="C20" i="60"/>
  <c r="C19" i="60"/>
  <c r="C18" i="60"/>
  <c r="C17" i="60"/>
  <c r="C16" i="60"/>
  <c r="C15" i="60"/>
  <c r="C14" i="60"/>
  <c r="C13" i="60"/>
  <c r="C12" i="60"/>
  <c r="C11" i="60"/>
  <c r="C10" i="60"/>
  <c r="C9" i="60"/>
  <c r="C8" i="60"/>
  <c r="C7" i="60"/>
  <c r="C6" i="60"/>
  <c r="C5" i="60"/>
  <c r="A21" i="59"/>
  <c r="A17" i="59"/>
  <c r="A13" i="59"/>
  <c r="A9" i="59"/>
  <c r="A5" i="59"/>
  <c r="C20" i="58"/>
  <c r="C19" i="58"/>
  <c r="C18" i="58"/>
  <c r="C17" i="58"/>
  <c r="C16" i="58"/>
  <c r="C15" i="58"/>
  <c r="C14" i="58"/>
  <c r="C13" i="58"/>
  <c r="C12" i="58"/>
  <c r="C11" i="58"/>
  <c r="C10" i="58"/>
  <c r="C9" i="58"/>
  <c r="D3" i="55"/>
  <c r="A3" i="55" s="1"/>
  <c r="D4" i="55"/>
  <c r="A4" i="55" s="1"/>
  <c r="D5" i="55"/>
  <c r="A5" i="55" s="1"/>
  <c r="D6" i="55"/>
  <c r="A6" i="55" s="1"/>
  <c r="D7" i="55"/>
  <c r="A7" i="55" s="1"/>
  <c r="D8" i="55"/>
  <c r="A8" i="55" s="1"/>
  <c r="D9" i="55"/>
  <c r="A9" i="55" s="1"/>
  <c r="D10" i="55"/>
  <c r="A10" i="55" s="1"/>
  <c r="D11" i="55"/>
  <c r="A11" i="55" s="1"/>
  <c r="D12" i="55"/>
  <c r="A12" i="55" s="1"/>
  <c r="D13" i="55"/>
  <c r="A13" i="55" s="1"/>
  <c r="D14" i="55"/>
  <c r="A14" i="55" s="1"/>
  <c r="D15" i="55"/>
  <c r="A15" i="55" s="1"/>
  <c r="D16" i="55"/>
  <c r="A16" i="55" s="1"/>
  <c r="D17" i="55"/>
  <c r="A17" i="55" s="1"/>
  <c r="D18" i="55"/>
  <c r="A18" i="55" s="1"/>
  <c r="D19" i="55"/>
  <c r="A19" i="55" s="1"/>
  <c r="D20" i="55"/>
  <c r="A20" i="55" s="1"/>
  <c r="D21" i="55"/>
  <c r="A21" i="55" s="1"/>
  <c r="D22" i="55"/>
  <c r="A22" i="55" s="1"/>
  <c r="D2" i="55"/>
  <c r="A2" i="55" s="1"/>
  <c r="C20" i="56"/>
  <c r="C19" i="56"/>
  <c r="C18" i="56"/>
  <c r="C17" i="56"/>
  <c r="C16" i="56"/>
  <c r="C15" i="56"/>
  <c r="C14" i="56"/>
  <c r="C13" i="56"/>
  <c r="C12" i="56"/>
  <c r="C11" i="56"/>
  <c r="C5" i="56"/>
  <c r="C7" i="56"/>
  <c r="D3" i="53"/>
  <c r="D4" i="53"/>
  <c r="A4" i="53" s="1"/>
  <c r="D5" i="53"/>
  <c r="A5" i="53" s="1"/>
  <c r="D6" i="53"/>
  <c r="A6" i="53" s="1"/>
  <c r="D7" i="53"/>
  <c r="A7" i="53" s="1"/>
  <c r="D8" i="53"/>
  <c r="A8" i="53" s="1"/>
  <c r="D9" i="53"/>
  <c r="A9" i="53" s="1"/>
  <c r="D10" i="53"/>
  <c r="A10" i="53" s="1"/>
  <c r="D11" i="53"/>
  <c r="A11" i="53" s="1"/>
  <c r="D12" i="53"/>
  <c r="A12" i="53" s="1"/>
  <c r="D13" i="53"/>
  <c r="A13" i="53" s="1"/>
  <c r="D14" i="53"/>
  <c r="A14" i="53" s="1"/>
  <c r="D15" i="53"/>
  <c r="A15" i="53" s="1"/>
  <c r="D16" i="53"/>
  <c r="A16" i="53" s="1"/>
  <c r="D17" i="53"/>
  <c r="A17" i="53" s="1"/>
  <c r="D18" i="53"/>
  <c r="A18" i="53" s="1"/>
  <c r="D19" i="53"/>
  <c r="A19" i="53" s="1"/>
  <c r="D20" i="53"/>
  <c r="A20" i="53" s="1"/>
  <c r="D21" i="53"/>
  <c r="A21" i="53" s="1"/>
  <c r="D22" i="53"/>
  <c r="A22" i="53" s="1"/>
  <c r="D2" i="53"/>
  <c r="A2" i="53" s="1"/>
  <c r="C20" i="54"/>
  <c r="C19" i="54"/>
  <c r="C18" i="54"/>
  <c r="C17" i="54"/>
  <c r="C16" i="54"/>
  <c r="C15" i="54"/>
  <c r="C14" i="54"/>
  <c r="C13" i="54"/>
  <c r="C12" i="54"/>
  <c r="C11" i="54"/>
  <c r="C10" i="54"/>
  <c r="C9" i="54"/>
  <c r="C7" i="54"/>
  <c r="A3" i="53"/>
  <c r="D3" i="51"/>
  <c r="D4" i="51"/>
  <c r="A4" i="51" s="1"/>
  <c r="D5" i="51"/>
  <c r="A5" i="51" s="1"/>
  <c r="D6" i="51"/>
  <c r="D7" i="51"/>
  <c r="D8" i="51"/>
  <c r="D9" i="51"/>
  <c r="D10" i="51"/>
  <c r="A10" i="51" s="1"/>
  <c r="D11" i="51"/>
  <c r="D12" i="51"/>
  <c r="A12" i="51" s="1"/>
  <c r="D13" i="51"/>
  <c r="A13" i="51" s="1"/>
  <c r="D14" i="51"/>
  <c r="D15" i="51"/>
  <c r="A15" i="51" s="1"/>
  <c r="D16" i="51"/>
  <c r="A16" i="51" s="1"/>
  <c r="D17" i="51"/>
  <c r="D18" i="51"/>
  <c r="A18" i="51" s="1"/>
  <c r="D19" i="51"/>
  <c r="A19" i="51" s="1"/>
  <c r="D20" i="51"/>
  <c r="A20" i="51" s="1"/>
  <c r="D21" i="51"/>
  <c r="A21" i="51" s="1"/>
  <c r="D22" i="51"/>
  <c r="A22" i="51" s="1"/>
  <c r="D2" i="51"/>
  <c r="A2" i="51" s="1"/>
  <c r="C20" i="52"/>
  <c r="C19" i="52"/>
  <c r="C18" i="52"/>
  <c r="C17" i="52"/>
  <c r="C16" i="52"/>
  <c r="C15" i="52"/>
  <c r="C14" i="52"/>
  <c r="C13" i="52"/>
  <c r="C12" i="52"/>
  <c r="C11" i="52"/>
  <c r="C10" i="52"/>
  <c r="C9" i="52"/>
  <c r="C8" i="52"/>
  <c r="C7" i="52"/>
  <c r="A17" i="51"/>
  <c r="A14" i="51"/>
  <c r="A11" i="51"/>
  <c r="A9" i="51"/>
  <c r="A8" i="51"/>
  <c r="A7" i="51"/>
  <c r="A6" i="51"/>
  <c r="A3" i="51"/>
  <c r="D3" i="49"/>
  <c r="D4" i="49"/>
  <c r="A4" i="49" s="1"/>
  <c r="D5" i="49"/>
  <c r="D6" i="49"/>
  <c r="A6" i="49" s="1"/>
  <c r="D7" i="49"/>
  <c r="A7" i="49" s="1"/>
  <c r="D8" i="49"/>
  <c r="A8" i="49" s="1"/>
  <c r="D9" i="49"/>
  <c r="A9" i="49" s="1"/>
  <c r="D10" i="49"/>
  <c r="A10" i="49" s="1"/>
  <c r="D11" i="49"/>
  <c r="A11" i="49" s="1"/>
  <c r="D12" i="49"/>
  <c r="A12" i="49" s="1"/>
  <c r="D13" i="49"/>
  <c r="A13" i="49" s="1"/>
  <c r="D14" i="49"/>
  <c r="A14" i="49" s="1"/>
  <c r="D15" i="49"/>
  <c r="A15" i="49" s="1"/>
  <c r="D16" i="49"/>
  <c r="A16" i="49" s="1"/>
  <c r="D17" i="49"/>
  <c r="A17" i="49" s="1"/>
  <c r="D18" i="49"/>
  <c r="A18" i="49" s="1"/>
  <c r="D19" i="49"/>
  <c r="A19" i="49" s="1"/>
  <c r="D20" i="49"/>
  <c r="A20" i="49" s="1"/>
  <c r="D21" i="49"/>
  <c r="A21" i="49" s="1"/>
  <c r="D22" i="49"/>
  <c r="A22" i="49" s="1"/>
  <c r="D2" i="49"/>
  <c r="A2" i="49" s="1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A5" i="49"/>
  <c r="A3" i="49"/>
  <c r="D3" i="47"/>
  <c r="A3" i="47" s="1"/>
  <c r="D4" i="47"/>
  <c r="A4" i="47" s="1"/>
  <c r="D5" i="47"/>
  <c r="A5" i="47" s="1"/>
  <c r="D6" i="47"/>
  <c r="D7" i="47"/>
  <c r="A7" i="47" s="1"/>
  <c r="D8" i="47"/>
  <c r="A8" i="47" s="1"/>
  <c r="D9" i="47"/>
  <c r="A9" i="47" s="1"/>
  <c r="D10" i="47"/>
  <c r="A10" i="47" s="1"/>
  <c r="D11" i="47"/>
  <c r="A11" i="47" s="1"/>
  <c r="D12" i="47"/>
  <c r="A12" i="47" s="1"/>
  <c r="D13" i="47"/>
  <c r="A13" i="47" s="1"/>
  <c r="D14" i="47"/>
  <c r="A14" i="47" s="1"/>
  <c r="D15" i="47"/>
  <c r="A15" i="47" s="1"/>
  <c r="D16" i="47"/>
  <c r="A16" i="47" s="1"/>
  <c r="D17" i="47"/>
  <c r="A17" i="47" s="1"/>
  <c r="D18" i="47"/>
  <c r="A18" i="47" s="1"/>
  <c r="D19" i="47"/>
  <c r="A19" i="47" s="1"/>
  <c r="D20" i="47"/>
  <c r="A20" i="47" s="1"/>
  <c r="D21" i="47"/>
  <c r="A21" i="47" s="1"/>
  <c r="D22" i="47"/>
  <c r="A22" i="47" s="1"/>
  <c r="D2" i="47"/>
  <c r="A2" i="47" s="1"/>
  <c r="C20" i="48"/>
  <c r="C19" i="48"/>
  <c r="C18" i="48"/>
  <c r="C17" i="48"/>
  <c r="C16" i="48"/>
  <c r="C15" i="48"/>
  <c r="C14" i="48"/>
  <c r="C13" i="48"/>
  <c r="C12" i="48"/>
  <c r="C11" i="48"/>
  <c r="C10" i="48"/>
  <c r="C9" i="48"/>
  <c r="C8" i="48"/>
  <c r="C7" i="48"/>
  <c r="A6" i="47"/>
  <c r="D3" i="18"/>
  <c r="A3" i="18" s="1"/>
  <c r="D4" i="18"/>
  <c r="A4" i="18" s="1"/>
  <c r="D5" i="18"/>
  <c r="A5" i="18" s="1"/>
  <c r="D6" i="18"/>
  <c r="A6" i="18" s="1"/>
  <c r="D7" i="18"/>
  <c r="A7" i="18" s="1"/>
  <c r="D8" i="18"/>
  <c r="A8" i="18" s="1"/>
  <c r="D9" i="18"/>
  <c r="A9" i="18" s="1"/>
  <c r="D10" i="18"/>
  <c r="A10" i="18" s="1"/>
  <c r="D11" i="18"/>
  <c r="A11" i="18" s="1"/>
  <c r="D12" i="18"/>
  <c r="A12" i="18" s="1"/>
  <c r="D13" i="18"/>
  <c r="A13" i="18" s="1"/>
  <c r="D14" i="18"/>
  <c r="A14" i="18" s="1"/>
  <c r="D15" i="18"/>
  <c r="A15" i="18" s="1"/>
  <c r="D16" i="18"/>
  <c r="A16" i="18" s="1"/>
  <c r="D17" i="18"/>
  <c r="A17" i="18" s="1"/>
  <c r="D18" i="18"/>
  <c r="A18" i="18" s="1"/>
  <c r="D19" i="18"/>
  <c r="A19" i="18" s="1"/>
  <c r="D20" i="18"/>
  <c r="A20" i="18" s="1"/>
  <c r="D21" i="18"/>
  <c r="A21" i="18" s="1"/>
  <c r="D22" i="18"/>
  <c r="A22" i="18" s="1"/>
  <c r="D2" i="18"/>
  <c r="A2" i="18" s="1"/>
  <c r="C17" i="16"/>
  <c r="C18" i="16"/>
  <c r="C19" i="16"/>
  <c r="C20" i="16"/>
  <c r="C14" i="16"/>
  <c r="C15" i="16"/>
  <c r="C16" i="16"/>
  <c r="C13" i="16"/>
  <c r="C12" i="16"/>
  <c r="C7" i="16"/>
  <c r="C6" i="16"/>
  <c r="C11" i="16"/>
  <c r="C5" i="16"/>
  <c r="C8" i="16"/>
  <c r="C9" i="16"/>
  <c r="C10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tc={ED6DE843-9DD7-4F9A-BB67-FC426E0B92F1}</author>
  </authors>
  <commentList>
    <comment ref="H7" authorId="0" shapeId="0" xr:uid="{ED6DE843-9DD7-4F9A-BB67-FC426E0B92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boite manquante
Reply:
    Boite réstituée le 01/10 </t>
      </text>
    </comment>
  </commentList>
</comments>
</file>

<file path=xl/sharedStrings.xml><?xml version="1.0" encoding="utf-8"?>
<sst xmlns="http://schemas.openxmlformats.org/spreadsheetml/2006/main" count="1233" uniqueCount="173">
  <si>
    <t>Mois</t>
  </si>
  <si>
    <t xml:space="preserve">Tableau de location 3150 - Janvier </t>
  </si>
  <si>
    <t>Tableau de location 3150 - Février</t>
  </si>
  <si>
    <t>Tableau de location 3150 - Mars</t>
  </si>
  <si>
    <t>Tableau de location 3150 - Avril</t>
  </si>
  <si>
    <t>Tableau de location 3150 - Mai</t>
  </si>
  <si>
    <t>Tableau de location 3150 - Juin</t>
  </si>
  <si>
    <t>Tableau de location 3150 - Juillet</t>
  </si>
  <si>
    <t>Tableau de location 3150 - Août</t>
  </si>
  <si>
    <t>Tableau de location 3150 - Septembre</t>
  </si>
  <si>
    <t>Tableau de location 3150 - Octobre</t>
  </si>
  <si>
    <t>Tableau de location 3150 - Novembre</t>
  </si>
  <si>
    <t>Tableau de location 3150 - Décembre</t>
  </si>
  <si>
    <t>N°TLP</t>
  </si>
  <si>
    <t>Modèle mobile</t>
  </si>
  <si>
    <t>N° de tél</t>
  </si>
  <si>
    <t>type de forfait communication</t>
  </si>
  <si>
    <t>SMS/MMS illimité autorisé</t>
  </si>
  <si>
    <r>
      <t>Data autorisée</t>
    </r>
    <r>
      <rPr>
        <sz val="12"/>
        <color rgb="FF000000"/>
        <rFont val="Arial"/>
        <family val="2"/>
      </rPr>
      <t xml:space="preserve"> Zone europe </t>
    </r>
  </si>
  <si>
    <t>international</t>
  </si>
  <si>
    <t>code PUK</t>
  </si>
  <si>
    <t>2G/3G/4G</t>
  </si>
  <si>
    <t>Type réseau</t>
  </si>
  <si>
    <t>BEW170</t>
  </si>
  <si>
    <t>huawei Mobile 4G wifi</t>
  </si>
  <si>
    <t>BEW172</t>
  </si>
  <si>
    <t>TLP1462</t>
  </si>
  <si>
    <t>iPhone 5S</t>
  </si>
  <si>
    <t>illimité zone Europe</t>
  </si>
  <si>
    <t>oui</t>
  </si>
  <si>
    <t>non</t>
  </si>
  <si>
    <t>3G/4G</t>
  </si>
  <si>
    <t>Telephone quadri-bande (850-900/1800-1900 Mhz) +wifi</t>
  </si>
  <si>
    <t>TLP1611</t>
  </si>
  <si>
    <t>iPhone SE 32 Go</t>
  </si>
  <si>
    <t>10 Go, débit ralenti après dépassement</t>
  </si>
  <si>
    <t>TLP1733</t>
  </si>
  <si>
    <t>Crosscall  Spider X-1</t>
  </si>
  <si>
    <t>2G</t>
  </si>
  <si>
    <t>Quadri-band : 850 MHz, 900 MHz, 1800 MHz et 1900 MHz</t>
  </si>
  <si>
    <t>TLP1734</t>
  </si>
  <si>
    <t>TLP1735</t>
  </si>
  <si>
    <t>TLP1736</t>
  </si>
  <si>
    <t>TLP1762</t>
  </si>
  <si>
    <t>Crosscall  Spider X-4</t>
  </si>
  <si>
    <t>2G/3G+</t>
  </si>
  <si>
    <t>TLP1878</t>
  </si>
  <si>
    <t>iPhone 7</t>
  </si>
  <si>
    <t>TLP2181</t>
  </si>
  <si>
    <t>Crosscall  Spider X-5</t>
  </si>
  <si>
    <t>TLP2183</t>
  </si>
  <si>
    <t>TLP2184</t>
  </si>
  <si>
    <t>TLP2196</t>
  </si>
  <si>
    <t>CROSSCALL CORE M5</t>
  </si>
  <si>
    <t>?</t>
  </si>
  <si>
    <t>TLP2197</t>
  </si>
  <si>
    <t>TÉLÉPHONE MISSIONS SENSIBLE</t>
  </si>
  <si>
    <t>TLP1862</t>
  </si>
  <si>
    <t>TLP1866</t>
  </si>
  <si>
    <t>TLP1872</t>
  </si>
  <si>
    <t>TLP1887</t>
  </si>
  <si>
    <t>TLP1903</t>
  </si>
  <si>
    <t>TLP1904</t>
  </si>
  <si>
    <t>SUIVI CONSOMMATION FORFAIT ORANGE : 555</t>
  </si>
  <si>
    <t>Pour les Etats -Unis, le Japon, L'Australie, Taiwan, Singapoure et la Korée du Sud prendre des téléphones Tri-bande sinon cela ne fonctionne pas + site web fréquence mobile dans le monde https://www.worldtimezone.com/gsm.html</t>
  </si>
  <si>
    <t>BEW170 - HUAWEI Mobile 4G</t>
  </si>
  <si>
    <t>Aucun numéro</t>
  </si>
  <si>
    <t>BEW172 - HUAWEI Mobile 4G</t>
  </si>
  <si>
    <t>TLP1462 - iPhone 5S</t>
  </si>
  <si>
    <t>TLP1611 - iPhone SE 32 Go</t>
  </si>
  <si>
    <t>TLP1733 - Crosscall  Spider X-1</t>
  </si>
  <si>
    <t>TLP1734 - Crosscall  Spider X-1</t>
  </si>
  <si>
    <t>TLP1735 - Crosscall  Spider X-1</t>
  </si>
  <si>
    <t>TLP1736 - Crosscall  Spider X-1</t>
  </si>
  <si>
    <t>TLP1762 - Crosscall  Spider X-4</t>
  </si>
  <si>
    <t>TLP1862 - Mission Sensible</t>
  </si>
  <si>
    <t>TLP1866 - Mission Sensible</t>
  </si>
  <si>
    <t>TLP1872 - Mission Sensible</t>
  </si>
  <si>
    <t>ok</t>
  </si>
  <si>
    <t>TLP1878 - iPhone 7 - 10GB Data</t>
  </si>
  <si>
    <t>TLP1894 - Mission Sensible</t>
  </si>
  <si>
    <t>TLP1903 - Mission Sensible</t>
  </si>
  <si>
    <t>06 43 72 29 33</t>
  </si>
  <si>
    <t>TLP1904 - Mission Sensible</t>
  </si>
  <si>
    <t>06 19 66 63 40</t>
  </si>
  <si>
    <t>TLP2181 - Crosscall  Spider X-5</t>
  </si>
  <si>
    <t>06 12 65 26 44</t>
  </si>
  <si>
    <t>TLP2183 - Crosscall  Spider X-5</t>
  </si>
  <si>
    <t>06 20 02 44 61</t>
  </si>
  <si>
    <t>TLP2184 - Crosscall  Spider X-5</t>
  </si>
  <si>
    <t>TLP2196 - CROSSCALL CORE M5</t>
  </si>
  <si>
    <t>TLP2197 - CROSSCALL CORE M5</t>
  </si>
  <si>
    <t>06 74 92 65 87</t>
  </si>
  <si>
    <t>TLP1887 - Mission Sensible</t>
  </si>
  <si>
    <t>Liste déroulante</t>
  </si>
  <si>
    <t>N° de machine</t>
  </si>
  <si>
    <t>Quantités Initiale</t>
  </si>
  <si>
    <t>Quantités Restante</t>
  </si>
  <si>
    <t>Statut</t>
  </si>
  <si>
    <t>BEW170 - Loué</t>
  </si>
  <si>
    <t>BEW172 -Loué</t>
  </si>
  <si>
    <t>TLP1462 - Loué</t>
  </si>
  <si>
    <t>TLP1611 - Loué</t>
  </si>
  <si>
    <t>TLP1733 - Loué</t>
  </si>
  <si>
    <t>TLP1734 - Loué</t>
  </si>
  <si>
    <t>TLP1735 - Loué</t>
  </si>
  <si>
    <t>TLP1736 - Loué</t>
  </si>
  <si>
    <t>TLP1762 - Loué</t>
  </si>
  <si>
    <t>TLP1862 - Loué</t>
  </si>
  <si>
    <t>TLP1866 - Loué</t>
  </si>
  <si>
    <t>TLP1872 - Loué</t>
  </si>
  <si>
    <t>TLP1878 - Loué</t>
  </si>
  <si>
    <t>TLP1894 - Loué</t>
  </si>
  <si>
    <t>TLP1903 - Loué</t>
  </si>
  <si>
    <t>TLP1904  - Loué</t>
  </si>
  <si>
    <t>TLP2181 - Loué</t>
  </si>
  <si>
    <t>TLP2183 - Loué</t>
  </si>
  <si>
    <t>TLP2184 - Loué</t>
  </si>
  <si>
    <t>TLP2196 - Loué</t>
  </si>
  <si>
    <t>TLP2197 - Loué</t>
  </si>
  <si>
    <t>Prêt créé</t>
  </si>
  <si>
    <t>Location cloturé</t>
  </si>
  <si>
    <t>N° de téléphone</t>
  </si>
  <si>
    <t>N°Téléphone</t>
  </si>
  <si>
    <t>Nom de l'emprunteur</t>
  </si>
  <si>
    <t>N° de dossier</t>
  </si>
  <si>
    <t>Date début de Loc</t>
  </si>
  <si>
    <t>Date de fin de Loc prévu</t>
  </si>
  <si>
    <t>Retour location</t>
  </si>
  <si>
    <t xml:space="preserve">Récupéré par le </t>
  </si>
  <si>
    <t>imputation</t>
  </si>
  <si>
    <t>Destination</t>
  </si>
  <si>
    <t>N° Formulaire FE008</t>
  </si>
  <si>
    <t>Enregistrement dans EDI</t>
  </si>
  <si>
    <t>Status</t>
  </si>
  <si>
    <t>FEROT Peggy</t>
  </si>
  <si>
    <t>DEM0000527</t>
  </si>
  <si>
    <t>prolongé jusqu'au 30/06/2025</t>
  </si>
  <si>
    <t>FP24DEP018 / 1</t>
  </si>
  <si>
    <t>Orléans</t>
  </si>
  <si>
    <t>BENHAMMOUDA Saadedine</t>
  </si>
  <si>
    <t>pas de formulaire</t>
  </si>
  <si>
    <t> </t>
  </si>
  <si>
    <t>PE20DIS490 /SUPPORTWEB</t>
  </si>
  <si>
    <t>France</t>
  </si>
  <si>
    <t>HOSTE COLOMER, Roser</t>
  </si>
  <si>
    <t>DEM0043118</t>
  </si>
  <si>
    <t>DEMO/DRIS</t>
  </si>
  <si>
    <t>Nepal</t>
  </si>
  <si>
    <t>Bernachot Isabelle</t>
  </si>
  <si>
    <t>DEM0043163</t>
  </si>
  <si>
    <t>CI24DGR514/6</t>
  </si>
  <si>
    <t>WAWRZYNIAK, Pierre</t>
  </si>
  <si>
    <t>DEM0041646</t>
  </si>
  <si>
    <t>WAWRZYNIAK, Pierre le 18/11/2025</t>
  </si>
  <si>
    <t>DEMO - DCGS</t>
  </si>
  <si>
    <t>HOAREAU, JOHAN</t>
  </si>
  <si>
    <t>DEM0043907</t>
  </si>
  <si>
    <t>CI25EAU501 / tâche 1</t>
  </si>
  <si>
    <t>SIGNORA, ALESSANDRO</t>
  </si>
  <si>
    <t>DEM0043835</t>
  </si>
  <si>
    <t>CF25DRM541 - Tâche 2</t>
  </si>
  <si>
    <t>LANDEMAINE, VALENTIN</t>
  </si>
  <si>
    <t>DEM0044330</t>
  </si>
  <si>
    <t>RDC CONGO</t>
  </si>
  <si>
    <t>Congo</t>
  </si>
  <si>
    <t>BRUGERON, Claire pour LANDEMAINE Valentin</t>
  </si>
  <si>
    <t>DEM0042789</t>
  </si>
  <si>
    <t>CI24DGR514 - Tâche 8</t>
  </si>
  <si>
    <t>Ok</t>
  </si>
  <si>
    <t>---------</t>
  </si>
  <si>
    <t>N° de TLP</t>
  </si>
  <si>
    <t>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</si>
</sst>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2"/>
      <name val="Aptos"/>
      <family val="2"/>
    </font>
    <font>
      <sz val="12"/>
      <color rgb="FF000000"/>
      <name val="Aptos"/>
      <family val="2"/>
    </font>
    <font>
      <b/>
      <sz val="11"/>
      <name val="Calibri"/>
      <family val="2"/>
    </font>
    <font>
      <b/>
      <sz val="12"/>
      <color rgb="FF800080"/>
      <name val="Arial"/>
      <family val="2"/>
    </font>
    <font>
      <b/>
      <sz val="12"/>
      <color rgb="FF000000"/>
      <name val="Arial"/>
      <family val="2"/>
    </font>
    <font>
      <sz val="10"/>
      <name val="Arial"/>
      <family val="2"/>
    </font>
    <font>
      <sz val="11"/>
      <color rgb="FF3B3B3B"/>
      <name val="Arial"/>
      <family val="2"/>
    </font>
    <font>
      <sz val="11"/>
      <color rgb="FF000000"/>
      <name val="Arial"/>
      <family val="2"/>
    </font>
    <font>
      <sz val="12"/>
      <color rgb="FF444444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444444"/>
      <name val="Arial"/>
      <family val="2"/>
    </font>
    <font>
      <sz val="12"/>
      <color rgb="FF000000"/>
      <name val="Aptos Narrow"/>
      <family val="2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Aptos Narrow"/>
      <family val="2"/>
    </font>
    <font>
      <b/>
      <sz val="11"/>
      <color rgb="FF00B0F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252423"/>
      <name val="Segoe UI"/>
      <family val="2"/>
    </font>
    <font>
      <b/>
      <sz val="11"/>
      <color rgb="FF548235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rgb="FF414141"/>
      <name val="Arial"/>
      <family val="2"/>
    </font>
    <font>
      <sz val="9"/>
      <color rgb="FF414141"/>
      <name val="Arial"/>
      <family val="2"/>
    </font>
    <font>
      <b/>
      <sz val="18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414141"/>
      <name val="Arial"/>
      <charset val="1"/>
    </font>
    <font>
      <sz val="12"/>
      <color rgb="FF414141"/>
      <name val="Arial"/>
      <family val="2"/>
    </font>
    <font>
      <sz val="12"/>
      <name val="Arial"/>
    </font>
    <font>
      <b/>
      <sz val="12"/>
      <color rgb="FFFF0000"/>
      <name val="Arial"/>
    </font>
    <font>
      <sz val="12"/>
      <color rgb="FF000000"/>
      <name val="Arial"/>
    </font>
    <font>
      <sz val="12"/>
      <color rgb="FF414141"/>
      <name val="Arial"/>
    </font>
    <font>
      <sz val="9"/>
      <color rgb="FF000000"/>
      <name val="Arial"/>
      <charset val="1"/>
    </font>
    <font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6">
    <xf numFmtId="0" fontId="0" fillId="0" borderId="0" xfId="0"/>
    <xf numFmtId="0" fontId="5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/>
    <xf numFmtId="0" fontId="4" fillId="0" borderId="7" xfId="0" applyFont="1" applyBorder="1" applyAlignment="1">
      <alignment horizontal="center" vertical="center" wrapText="1"/>
    </xf>
    <xf numFmtId="0" fontId="0" fillId="0" borderId="18" xfId="0" applyBorder="1"/>
    <xf numFmtId="0" fontId="4" fillId="0" borderId="2" xfId="0" applyFont="1" applyBorder="1"/>
    <xf numFmtId="0" fontId="4" fillId="0" borderId="0" xfId="0" applyFont="1"/>
    <xf numFmtId="0" fontId="4" fillId="0" borderId="17" xfId="0" applyFont="1" applyBorder="1"/>
    <xf numFmtId="0" fontId="3" fillId="0" borderId="7" xfId="0" applyFont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 wrapText="1"/>
    </xf>
    <xf numFmtId="0" fontId="9" fillId="0" borderId="0" xfId="0" applyFont="1"/>
    <xf numFmtId="0" fontId="17" fillId="5" borderId="20" xfId="0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2" fillId="0" borderId="0" xfId="0" applyFont="1"/>
    <xf numFmtId="0" fontId="12" fillId="0" borderId="23" xfId="0" applyFont="1" applyBorder="1"/>
    <xf numFmtId="0" fontId="12" fillId="0" borderId="8" xfId="0" applyFont="1" applyBorder="1"/>
    <xf numFmtId="0" fontId="12" fillId="0" borderId="8" xfId="0" applyFont="1" applyBorder="1" applyAlignment="1">
      <alignment horizontal="center"/>
    </xf>
    <xf numFmtId="0" fontId="19" fillId="0" borderId="8" xfId="0" applyFont="1" applyBorder="1" applyAlignment="1">
      <alignment horizontal="center" vertical="center" wrapText="1"/>
    </xf>
    <xf numFmtId="0" fontId="12" fillId="0" borderId="24" xfId="0" applyFont="1" applyBorder="1"/>
    <xf numFmtId="0" fontId="12" fillId="3" borderId="23" xfId="0" applyFont="1" applyFill="1" applyBorder="1"/>
    <xf numFmtId="0" fontId="12" fillId="3" borderId="8" xfId="0" applyFont="1" applyFill="1" applyBorder="1"/>
    <xf numFmtId="0" fontId="12" fillId="3" borderId="8" xfId="0" applyFont="1" applyFill="1" applyBorder="1" applyAlignment="1">
      <alignment horizontal="center"/>
    </xf>
    <xf numFmtId="0" fontId="19" fillId="3" borderId="8" xfId="0" applyFont="1" applyFill="1" applyBorder="1" applyAlignment="1">
      <alignment horizontal="center" vertical="center"/>
    </xf>
    <xf numFmtId="0" fontId="20" fillId="0" borderId="0" xfId="0" applyFont="1"/>
    <xf numFmtId="0" fontId="20" fillId="3" borderId="24" xfId="0" applyFont="1" applyFill="1" applyBorder="1"/>
    <xf numFmtId="0" fontId="21" fillId="3" borderId="8" xfId="0" applyFont="1" applyFill="1" applyBorder="1" applyAlignment="1">
      <alignment horizontal="center"/>
    </xf>
    <xf numFmtId="0" fontId="19" fillId="3" borderId="8" xfId="0" applyFont="1" applyFill="1" applyBorder="1" applyAlignment="1">
      <alignment horizontal="center"/>
    </xf>
    <xf numFmtId="0" fontId="20" fillId="3" borderId="24" xfId="0" applyFont="1" applyFill="1" applyBorder="1" applyAlignment="1">
      <alignment vertical="center" wrapText="1"/>
    </xf>
    <xf numFmtId="0" fontId="20" fillId="0" borderId="0" xfId="0" applyFont="1" applyAlignment="1">
      <alignment vertical="center"/>
    </xf>
    <xf numFmtId="0" fontId="22" fillId="0" borderId="8" xfId="0" applyFont="1" applyBorder="1"/>
    <xf numFmtId="0" fontId="21" fillId="0" borderId="8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20" fillId="0" borderId="2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3" borderId="24" xfId="0" applyFont="1" applyFill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3" fillId="3" borderId="23" xfId="0" applyFont="1" applyFill="1" applyBorder="1"/>
    <xf numFmtId="0" fontId="23" fillId="3" borderId="8" xfId="0" applyFont="1" applyFill="1" applyBorder="1"/>
    <xf numFmtId="0" fontId="24" fillId="3" borderId="8" xfId="0" applyFont="1" applyFill="1" applyBorder="1" applyAlignment="1">
      <alignment horizontal="center"/>
    </xf>
    <xf numFmtId="0" fontId="25" fillId="3" borderId="8" xfId="0" applyFont="1" applyFill="1" applyBorder="1" applyAlignment="1">
      <alignment horizontal="center"/>
    </xf>
    <xf numFmtId="0" fontId="24" fillId="3" borderId="24" xfId="0" applyFont="1" applyFill="1" applyBorder="1" applyAlignment="1">
      <alignment vertical="center"/>
    </xf>
    <xf numFmtId="0" fontId="20" fillId="0" borderId="24" xfId="0" applyFont="1" applyBorder="1" applyAlignment="1">
      <alignment vertical="center" wrapText="1"/>
    </xf>
    <xf numFmtId="0" fontId="23" fillId="0" borderId="8" xfId="0" applyFont="1" applyBorder="1"/>
    <xf numFmtId="0" fontId="26" fillId="0" borderId="8" xfId="0" applyFont="1" applyBorder="1"/>
    <xf numFmtId="0" fontId="12" fillId="0" borderId="25" xfId="0" applyFont="1" applyBorder="1"/>
    <xf numFmtId="0" fontId="23" fillId="0" borderId="26" xfId="0" applyFont="1" applyBorder="1"/>
    <xf numFmtId="0" fontId="12" fillId="0" borderId="26" xfId="0" applyFont="1" applyBorder="1"/>
    <xf numFmtId="0" fontId="26" fillId="0" borderId="26" xfId="0" applyFont="1" applyBorder="1"/>
    <xf numFmtId="0" fontId="21" fillId="0" borderId="26" xfId="0" applyFont="1" applyBorder="1"/>
    <xf numFmtId="0" fontId="21" fillId="0" borderId="26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/>
    </xf>
    <xf numFmtId="0" fontId="21" fillId="0" borderId="27" xfId="0" applyFont="1" applyBorder="1"/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26" fillId="0" borderId="0" xfId="0" applyFont="1"/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7" fillId="4" borderId="6" xfId="0" applyFont="1" applyFill="1" applyBorder="1" applyAlignment="1">
      <alignment horizontal="center" vertical="center" wrapText="1"/>
    </xf>
    <xf numFmtId="0" fontId="28" fillId="7" borderId="6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1" fillId="0" borderId="0" xfId="0" applyFont="1" applyAlignment="1">
      <alignment horizontal="center"/>
    </xf>
    <xf numFmtId="0" fontId="25" fillId="0" borderId="0" xfId="0" applyFont="1" applyAlignment="1">
      <alignment horizontal="center" wrapText="1"/>
    </xf>
    <xf numFmtId="164" fontId="27" fillId="4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0" fillId="0" borderId="0" xfId="0" applyProtection="1"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14" fontId="0" fillId="0" borderId="6" xfId="0" applyNumberFormat="1" applyBorder="1" applyAlignment="1" applyProtection="1">
      <alignment horizontal="center" vertical="center"/>
      <protection locked="0"/>
    </xf>
    <xf numFmtId="14" fontId="7" fillId="0" borderId="11" xfId="0" applyNumberFormat="1" applyFont="1" applyBorder="1" applyAlignment="1" applyProtection="1">
      <alignment horizontal="center" vertical="center"/>
      <protection locked="0"/>
    </xf>
    <xf numFmtId="14" fontId="0" fillId="0" borderId="9" xfId="0" applyNumberForma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14" fontId="0" fillId="0" borderId="12" xfId="0" applyNumberForma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 inden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6" fillId="0" borderId="6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14" fontId="29" fillId="0" borderId="1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4" fillId="9" borderId="6" xfId="0" applyFont="1" applyFill="1" applyBorder="1" applyAlignment="1" applyProtection="1">
      <alignment horizontal="center" vertical="center"/>
      <protection locked="0"/>
    </xf>
    <xf numFmtId="164" fontId="4" fillId="9" borderId="6" xfId="0" applyNumberFormat="1" applyFont="1" applyFill="1" applyBorder="1" applyAlignment="1">
      <alignment horizontal="center" vertical="center"/>
    </xf>
    <xf numFmtId="0" fontId="30" fillId="9" borderId="6" xfId="0" applyFont="1" applyFill="1" applyBorder="1" applyAlignment="1" applyProtection="1">
      <alignment horizontal="center" vertical="center"/>
      <protection locked="0"/>
    </xf>
    <xf numFmtId="0" fontId="0" fillId="9" borderId="6" xfId="0" applyFill="1" applyBorder="1" applyAlignment="1" applyProtection="1">
      <alignment horizontal="center" vertical="center"/>
      <protection locked="0"/>
    </xf>
    <xf numFmtId="14" fontId="0" fillId="9" borderId="6" xfId="0" applyNumberFormat="1" applyFill="1" applyBorder="1" applyAlignment="1" applyProtection="1">
      <alignment horizontal="center" vertical="center"/>
      <protection locked="0"/>
    </xf>
    <xf numFmtId="14" fontId="7" fillId="9" borderId="11" xfId="0" applyNumberFormat="1" applyFont="1" applyFill="1" applyBorder="1" applyAlignment="1" applyProtection="1">
      <alignment horizontal="center" vertical="center"/>
      <protection locked="0"/>
    </xf>
    <xf numFmtId="14" fontId="30" fillId="9" borderId="6" xfId="0" applyNumberFormat="1" applyFont="1" applyFill="1" applyBorder="1" applyAlignment="1" applyProtection="1">
      <alignment horizontal="center" vertical="center"/>
      <protection locked="0"/>
    </xf>
    <xf numFmtId="14" fontId="30" fillId="9" borderId="6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12" xfId="0" applyFont="1" applyFill="1" applyBorder="1" applyAlignment="1" applyProtection="1">
      <alignment horizontal="center" vertical="center"/>
      <protection locked="0"/>
    </xf>
    <xf numFmtId="164" fontId="4" fillId="9" borderId="12" xfId="0" applyNumberFormat="1" applyFont="1" applyFill="1" applyBorder="1" applyAlignment="1">
      <alignment horizontal="center" vertical="center"/>
    </xf>
    <xf numFmtId="0" fontId="30" fillId="9" borderId="12" xfId="0" applyFont="1" applyFill="1" applyBorder="1" applyAlignment="1" applyProtection="1">
      <alignment horizontal="center" vertical="center"/>
      <protection locked="0"/>
    </xf>
    <xf numFmtId="0" fontId="0" fillId="9" borderId="12" xfId="0" applyFill="1" applyBorder="1" applyAlignment="1" applyProtection="1">
      <alignment horizontal="center" vertical="center"/>
      <protection locked="0"/>
    </xf>
    <xf numFmtId="14" fontId="0" fillId="9" borderId="12" xfId="0" applyNumberFormat="1" applyFill="1" applyBorder="1" applyAlignment="1" applyProtection="1">
      <alignment horizontal="center" vertical="center"/>
      <protection locked="0"/>
    </xf>
    <xf numFmtId="14" fontId="7" fillId="9" borderId="15" xfId="0" applyNumberFormat="1" applyFont="1" applyFill="1" applyBorder="1" applyAlignment="1" applyProtection="1">
      <alignment horizontal="center" vertical="center"/>
      <protection locked="0"/>
    </xf>
    <xf numFmtId="0" fontId="30" fillId="9" borderId="6" xfId="0" applyFon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9" borderId="6" xfId="0" applyFill="1" applyBorder="1" applyAlignment="1" applyProtection="1">
      <alignment horizontal="center" vertical="center" wrapText="1"/>
      <protection locked="0"/>
    </xf>
    <xf numFmtId="14" fontId="0" fillId="9" borderId="6" xfId="0" applyNumberFormat="1" applyFill="1" applyBorder="1" applyAlignment="1" applyProtection="1">
      <alignment horizontal="center" vertical="center" wrapText="1"/>
      <protection locked="0"/>
    </xf>
    <xf numFmtId="0" fontId="30" fillId="9" borderId="12" xfId="0" applyFont="1" applyFill="1" applyBorder="1" applyAlignment="1" applyProtection="1">
      <alignment horizontal="center" vertical="center" wrapText="1"/>
      <protection locked="0"/>
    </xf>
    <xf numFmtId="0" fontId="0" fillId="9" borderId="12" xfId="0" applyFill="1" applyBorder="1" applyAlignment="1" applyProtection="1">
      <alignment horizontal="center" vertical="center" wrapText="1"/>
      <protection locked="0"/>
    </xf>
    <xf numFmtId="14" fontId="0" fillId="9" borderId="12" xfId="0" applyNumberFormat="1" applyFill="1" applyBorder="1" applyAlignment="1" applyProtection="1">
      <alignment horizontal="center" vertical="center" wrapText="1"/>
      <protection locked="0"/>
    </xf>
    <xf numFmtId="14" fontId="0" fillId="0" borderId="6" xfId="0" applyNumberFormat="1" applyBorder="1" applyAlignment="1" applyProtection="1">
      <alignment horizontal="center" vertical="center" wrapText="1"/>
      <protection locked="0"/>
    </xf>
    <xf numFmtId="14" fontId="0" fillId="0" borderId="12" xfId="0" applyNumberFormat="1" applyBorder="1" applyAlignment="1" applyProtection="1">
      <alignment horizontal="center" vertical="center" wrapText="1"/>
      <protection locked="0"/>
    </xf>
    <xf numFmtId="0" fontId="30" fillId="0" borderId="6" xfId="0" applyFont="1" applyBorder="1" applyAlignment="1" applyProtection="1">
      <alignment horizontal="center" vertical="center"/>
      <protection locked="0"/>
    </xf>
    <xf numFmtId="14" fontId="38" fillId="9" borderId="11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6" fillId="0" borderId="6" xfId="0" applyFont="1" applyBorder="1" applyAlignment="1" applyProtection="1">
      <alignment horizontal="center" vertical="center" wrapText="1"/>
      <protection locked="0"/>
    </xf>
    <xf numFmtId="14" fontId="0" fillId="0" borderId="9" xfId="0" applyNumberFormat="1" applyBorder="1" applyAlignment="1" applyProtection="1">
      <alignment horizontal="center" vertical="center" wrapText="1"/>
      <protection locked="0"/>
    </xf>
    <xf numFmtId="14" fontId="0" fillId="9" borderId="9" xfId="0" applyNumberFormat="1" applyFill="1" applyBorder="1" applyAlignment="1" applyProtection="1">
      <alignment horizontal="center" vertical="center"/>
      <protection locked="0"/>
    </xf>
    <xf numFmtId="14" fontId="39" fillId="0" borderId="11" xfId="0" applyNumberFormat="1" applyFont="1" applyBorder="1" applyAlignment="1" applyProtection="1">
      <alignment horizontal="center" vertical="center"/>
      <protection locked="0"/>
    </xf>
    <xf numFmtId="14" fontId="38" fillId="0" borderId="11" xfId="0" applyNumberFormat="1" applyFont="1" applyBorder="1" applyAlignment="1" applyProtection="1">
      <alignment horizontal="center" vertical="center"/>
      <protection locked="0"/>
    </xf>
    <xf numFmtId="0" fontId="40" fillId="0" borderId="15" xfId="0" applyFont="1" applyBorder="1" applyAlignment="1" applyProtection="1">
      <alignment horizontal="center" vertical="center" wrapText="1"/>
      <protection locked="0"/>
    </xf>
    <xf numFmtId="164" fontId="40" fillId="9" borderId="6" xfId="0" applyNumberFormat="1" applyFont="1" applyFill="1" applyBorder="1" applyAlignment="1">
      <alignment horizontal="center" vertical="center"/>
    </xf>
    <xf numFmtId="0" fontId="31" fillId="9" borderId="12" xfId="0" applyFont="1" applyFill="1" applyBorder="1" applyAlignment="1" applyProtection="1">
      <alignment horizontal="center" vertical="center" wrapText="1"/>
      <protection locked="0"/>
    </xf>
    <xf numFmtId="14" fontId="31" fillId="9" borderId="12" xfId="0" applyNumberFormat="1" applyFont="1" applyFill="1" applyBorder="1" applyAlignment="1" applyProtection="1">
      <alignment horizontal="center" vertical="center" wrapText="1"/>
      <protection locked="0"/>
    </xf>
    <xf numFmtId="0" fontId="31" fillId="9" borderId="6" xfId="0" applyFont="1" applyFill="1" applyBorder="1" applyAlignment="1" applyProtection="1">
      <alignment horizontal="center" vertical="center" wrapText="1"/>
      <protection locked="0"/>
    </xf>
    <xf numFmtId="14" fontId="31" fillId="9" borderId="6" xfId="0" applyNumberFormat="1" applyFont="1" applyFill="1" applyBorder="1" applyAlignment="1" applyProtection="1">
      <alignment horizontal="center" vertical="center" wrapText="1"/>
      <protection locked="0"/>
    </xf>
    <xf numFmtId="14" fontId="33" fillId="9" borderId="6" xfId="0" applyNumberFormat="1" applyFont="1" applyFill="1" applyBorder="1" applyAlignment="1" applyProtection="1">
      <alignment horizontal="center" vertical="center" wrapText="1"/>
      <protection locked="0"/>
    </xf>
    <xf numFmtId="14" fontId="36" fillId="9" borderId="6" xfId="0" applyNumberFormat="1" applyFont="1" applyFill="1" applyBorder="1" applyAlignment="1" applyProtection="1">
      <alignment horizontal="center" vertical="center" wrapText="1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locked="0"/>
    </xf>
    <xf numFmtId="14" fontId="30" fillId="0" borderId="6" xfId="0" applyNumberFormat="1" applyFont="1" applyBorder="1" applyAlignment="1" applyProtection="1">
      <alignment horizontal="center" vertical="center"/>
      <protection locked="0"/>
    </xf>
    <xf numFmtId="0" fontId="30" fillId="0" borderId="12" xfId="0" applyFont="1" applyBorder="1" applyAlignment="1" applyProtection="1">
      <alignment horizontal="center" vertical="center"/>
      <protection locked="0"/>
    </xf>
    <xf numFmtId="14" fontId="30" fillId="0" borderId="12" xfId="0" applyNumberFormat="1" applyFont="1" applyBorder="1" applyAlignment="1" applyProtection="1">
      <alignment horizontal="center" vertical="center"/>
      <protection locked="0"/>
    </xf>
    <xf numFmtId="164" fontId="40" fillId="0" borderId="6" xfId="0" applyNumberFormat="1" applyFont="1" applyBorder="1" applyAlignment="1">
      <alignment horizontal="center" vertical="center"/>
    </xf>
    <xf numFmtId="0" fontId="40" fillId="0" borderId="9" xfId="0" applyFont="1" applyBorder="1" applyAlignment="1" applyProtection="1">
      <alignment horizontal="center" vertical="center"/>
      <protection locked="0"/>
    </xf>
    <xf numFmtId="0" fontId="40" fillId="0" borderId="16" xfId="0" applyFont="1" applyBorder="1" applyAlignment="1" applyProtection="1">
      <alignment horizontal="center" vertical="center"/>
      <protection locked="0"/>
    </xf>
    <xf numFmtId="164" fontId="40" fillId="0" borderId="9" xfId="0" applyNumberFormat="1" applyFont="1" applyBorder="1" applyAlignment="1">
      <alignment horizontal="center" vertical="center"/>
    </xf>
    <xf numFmtId="164" fontId="12" fillId="3" borderId="8" xfId="0" applyNumberFormat="1" applyFont="1" applyFill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164" fontId="23" fillId="3" borderId="8" xfId="0" applyNumberFormat="1" applyFont="1" applyFill="1" applyBorder="1" applyAlignment="1">
      <alignment horizontal="center"/>
    </xf>
    <xf numFmtId="164" fontId="12" fillId="0" borderId="26" xfId="0" applyNumberFormat="1" applyFont="1" applyBorder="1" applyAlignment="1">
      <alignment horizontal="center"/>
    </xf>
    <xf numFmtId="0" fontId="4" fillId="9" borderId="14" xfId="0" applyFont="1" applyFill="1" applyBorder="1" applyAlignment="1" applyProtection="1">
      <alignment horizontal="center" vertical="center"/>
      <protection locked="0"/>
    </xf>
    <xf numFmtId="14" fontId="38" fillId="9" borderId="15" xfId="0" applyNumberFormat="1" applyFont="1" applyFill="1" applyBorder="1" applyAlignment="1" applyProtection="1">
      <alignment horizontal="center" vertical="center"/>
      <protection locked="0"/>
    </xf>
    <xf numFmtId="0" fontId="40" fillId="9" borderId="11" xfId="0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0" fillId="9" borderId="10" xfId="0" applyFont="1" applyFill="1" applyBorder="1" applyAlignment="1" applyProtection="1">
      <alignment horizontal="center" vertical="center" wrapText="1"/>
      <protection locked="0"/>
    </xf>
    <xf numFmtId="164" fontId="12" fillId="3" borderId="34" xfId="0" applyNumberFormat="1" applyFont="1" applyFill="1" applyBorder="1" applyAlignment="1">
      <alignment horizontal="center" vertical="top"/>
    </xf>
    <xf numFmtId="164" fontId="12" fillId="0" borderId="35" xfId="0" applyNumberFormat="1" applyFont="1" applyBorder="1" applyAlignment="1">
      <alignment horizontal="center" vertical="top"/>
    </xf>
    <xf numFmtId="164" fontId="12" fillId="3" borderId="35" xfId="0" applyNumberFormat="1" applyFont="1" applyFill="1" applyBorder="1" applyAlignment="1">
      <alignment horizontal="center" vertical="top"/>
    </xf>
    <xf numFmtId="164" fontId="23" fillId="3" borderId="35" xfId="0" applyNumberFormat="1" applyFont="1" applyFill="1" applyBorder="1" applyAlignment="1">
      <alignment horizontal="center" vertical="top"/>
    </xf>
    <xf numFmtId="164" fontId="46" fillId="0" borderId="35" xfId="0" applyNumberFormat="1" applyFont="1" applyBorder="1" applyAlignment="1">
      <alignment horizontal="center" vertical="top"/>
    </xf>
    <xf numFmtId="164" fontId="13" fillId="0" borderId="35" xfId="0" applyNumberFormat="1" applyFont="1" applyBorder="1" applyAlignment="1">
      <alignment horizontal="center" vertical="top"/>
    </xf>
    <xf numFmtId="164" fontId="13" fillId="4" borderId="35" xfId="0" applyNumberFormat="1" applyFont="1" applyFill="1" applyBorder="1" applyAlignment="1">
      <alignment horizontal="center" vertical="top" wrapText="1"/>
    </xf>
    <xf numFmtId="164" fontId="13" fillId="4" borderId="36" xfId="0" applyNumberFormat="1" applyFont="1" applyFill="1" applyBorder="1" applyAlignment="1">
      <alignment horizontal="center" vertical="top" wrapText="1"/>
    </xf>
    <xf numFmtId="0" fontId="12" fillId="0" borderId="33" xfId="0" applyFont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7" fillId="3" borderId="31" xfId="0" applyFont="1" applyFill="1" applyBorder="1" applyAlignment="1">
      <alignment horizontal="center" vertical="center"/>
    </xf>
    <xf numFmtId="164" fontId="47" fillId="3" borderId="34" xfId="0" applyNumberFormat="1" applyFont="1" applyFill="1" applyBorder="1" applyAlignment="1">
      <alignment horizontal="center" vertical="top"/>
    </xf>
    <xf numFmtId="0" fontId="47" fillId="0" borderId="31" xfId="0" applyFont="1" applyBorder="1" applyAlignment="1">
      <alignment horizontal="center" vertical="center"/>
    </xf>
    <xf numFmtId="164" fontId="47" fillId="0" borderId="35" xfId="0" applyNumberFormat="1" applyFont="1" applyBorder="1" applyAlignment="1">
      <alignment horizontal="center" vertical="top"/>
    </xf>
    <xf numFmtId="164" fontId="47" fillId="3" borderId="35" xfId="0" applyNumberFormat="1" applyFont="1" applyFill="1" applyBorder="1" applyAlignment="1">
      <alignment horizontal="center" vertical="top"/>
    </xf>
    <xf numFmtId="164" fontId="48" fillId="3" borderId="35" xfId="0" applyNumberFormat="1" applyFont="1" applyFill="1" applyBorder="1" applyAlignment="1">
      <alignment horizontal="center" vertical="top"/>
    </xf>
    <xf numFmtId="0" fontId="49" fillId="4" borderId="31" xfId="0" applyFont="1" applyFill="1" applyBorder="1" applyAlignment="1">
      <alignment horizontal="center" vertical="center" wrapText="1"/>
    </xf>
    <xf numFmtId="164" fontId="50" fillId="0" borderId="35" xfId="0" applyNumberFormat="1" applyFont="1" applyBorder="1" applyAlignment="1">
      <alignment horizontal="center" vertical="top"/>
    </xf>
    <xf numFmtId="164" fontId="49" fillId="0" borderId="35" xfId="0" applyNumberFormat="1" applyFont="1" applyBorder="1" applyAlignment="1">
      <alignment horizontal="center" vertical="top"/>
    </xf>
    <xf numFmtId="164" fontId="49" fillId="4" borderId="35" xfId="0" applyNumberFormat="1" applyFont="1" applyFill="1" applyBorder="1" applyAlignment="1">
      <alignment horizontal="center" vertical="top" wrapText="1"/>
    </xf>
    <xf numFmtId="0" fontId="47" fillId="0" borderId="32" xfId="0" applyFont="1" applyBorder="1" applyAlignment="1">
      <alignment horizontal="center" vertical="center"/>
    </xf>
    <xf numFmtId="164" fontId="49" fillId="4" borderId="36" xfId="0" applyNumberFormat="1" applyFont="1" applyFill="1" applyBorder="1" applyAlignment="1">
      <alignment horizontal="center" vertical="top" wrapText="1"/>
    </xf>
    <xf numFmtId="164" fontId="51" fillId="0" borderId="0" xfId="0" applyNumberFormat="1" applyFont="1" applyAlignment="1">
      <alignment horizontal="left"/>
    </xf>
    <xf numFmtId="0" fontId="30" fillId="0" borderId="10" xfId="0" applyFont="1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center" vertical="center" indent="1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14" fontId="30" fillId="0" borderId="9" xfId="0" applyNumberFormat="1" applyFont="1" applyBorder="1" applyAlignment="1" applyProtection="1">
      <alignment horizontal="center" vertical="center"/>
      <protection locked="0"/>
    </xf>
    <xf numFmtId="0" fontId="40" fillId="0" borderId="11" xfId="0" applyFont="1" applyBorder="1" applyAlignment="1" applyProtection="1">
      <alignment horizontal="center" vertical="center" wrapText="1"/>
      <protection locked="0"/>
    </xf>
    <xf numFmtId="0" fontId="30" fillId="0" borderId="6" xfId="0" applyFont="1" applyBorder="1" applyAlignment="1" applyProtection="1">
      <alignment horizontal="center" vertical="center" wrapText="1"/>
      <protection locked="0"/>
    </xf>
    <xf numFmtId="0" fontId="30" fillId="0" borderId="10" xfId="0" applyFont="1" applyBorder="1" applyAlignment="1" applyProtection="1">
      <alignment horizontal="center" vertical="center"/>
      <protection locked="0"/>
    </xf>
    <xf numFmtId="0" fontId="30" fillId="0" borderId="11" xfId="0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45" fillId="0" borderId="0" xfId="0" applyFont="1" applyAlignment="1" applyProtection="1">
      <alignment horizontal="center" vertical="center"/>
      <protection locked="0"/>
    </xf>
    <xf numFmtId="0" fontId="43" fillId="0" borderId="12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 wrapText="1"/>
      <protection locked="0"/>
    </xf>
    <xf numFmtId="14" fontId="33" fillId="0" borderId="12" xfId="0" applyNumberFormat="1" applyFont="1" applyBorder="1" applyAlignment="1" applyProtection="1">
      <alignment horizontal="center" vertical="center" wrapText="1"/>
      <protection locked="0"/>
    </xf>
    <xf numFmtId="14" fontId="36" fillId="0" borderId="12" xfId="0" applyNumberFormat="1" applyFont="1" applyBorder="1" applyAlignment="1" applyProtection="1">
      <alignment horizontal="center" vertical="center" wrapText="1"/>
      <protection locked="0"/>
    </xf>
    <xf numFmtId="0" fontId="40" fillId="0" borderId="6" xfId="0" applyFont="1" applyBorder="1" applyAlignment="1" applyProtection="1">
      <alignment horizontal="center" vertical="center" wrapText="1"/>
      <protection locked="0"/>
    </xf>
    <xf numFmtId="14" fontId="44" fillId="0" borderId="6" xfId="0" applyNumberFormat="1" applyFont="1" applyBorder="1" applyAlignment="1" applyProtection="1">
      <alignment horizontal="center" vertical="center" wrapText="1"/>
      <protection locked="0"/>
    </xf>
    <xf numFmtId="14" fontId="36" fillId="0" borderId="6" xfId="0" applyNumberFormat="1" applyFont="1" applyBorder="1" applyAlignment="1" applyProtection="1">
      <alignment horizontal="center" vertical="center" wrapText="1"/>
      <protection locked="0"/>
    </xf>
    <xf numFmtId="0" fontId="43" fillId="0" borderId="6" xfId="0" applyFont="1" applyBorder="1" applyAlignment="1" applyProtection="1">
      <alignment horizontal="center" vertical="center"/>
      <protection locked="0"/>
    </xf>
    <xf numFmtId="0" fontId="42" fillId="0" borderId="6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14" fontId="33" fillId="0" borderId="6" xfId="0" applyNumberFormat="1" applyFont="1" applyBorder="1" applyAlignment="1" applyProtection="1">
      <alignment horizontal="center" vertical="center" wrapText="1"/>
      <protection locked="0"/>
    </xf>
    <xf numFmtId="14" fontId="30" fillId="0" borderId="6" xfId="0" applyNumberFormat="1" applyFont="1" applyBorder="1" applyAlignment="1" applyProtection="1">
      <alignment horizontal="center" vertical="center" wrapText="1"/>
      <protection locked="0"/>
    </xf>
    <xf numFmtId="0" fontId="31" fillId="0" borderId="6" xfId="0" applyFont="1" applyBorder="1" applyAlignment="1" applyProtection="1">
      <alignment horizontal="center" vertical="center" wrapText="1"/>
      <protection locked="0"/>
    </xf>
    <xf numFmtId="14" fontId="31" fillId="0" borderId="6" xfId="0" applyNumberFormat="1" applyFont="1" applyBorder="1" applyAlignment="1" applyProtection="1">
      <alignment horizontal="center" vertical="center" wrapText="1"/>
      <protection locked="0"/>
    </xf>
    <xf numFmtId="14" fontId="9" fillId="9" borderId="6" xfId="0" applyNumberFormat="1" applyFont="1" applyFill="1" applyBorder="1" applyAlignment="1" applyProtection="1">
      <alignment horizontal="center" vertical="center" wrapText="1"/>
      <protection locked="0"/>
    </xf>
    <xf numFmtId="0" fontId="41" fillId="0" borderId="6" xfId="0" applyFont="1" applyBorder="1" applyAlignment="1" applyProtection="1">
      <alignment horizontal="center" vertical="center"/>
      <protection locked="0"/>
    </xf>
    <xf numFmtId="14" fontId="30" fillId="0" borderId="12" xfId="0" applyNumberFormat="1" applyFont="1" applyBorder="1" applyAlignment="1" applyProtection="1">
      <alignment horizontal="center" vertical="center" wrapText="1"/>
      <protection locked="0"/>
    </xf>
    <xf numFmtId="14" fontId="38" fillId="0" borderId="6" xfId="0" applyNumberFormat="1" applyFont="1" applyBorder="1" applyAlignment="1" applyProtection="1">
      <alignment horizontal="center" vertical="center"/>
      <protection locked="0"/>
    </xf>
    <xf numFmtId="0" fontId="37" fillId="0" borderId="16" xfId="0" applyFont="1" applyBorder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14" fontId="30" fillId="0" borderId="0" xfId="0" applyNumberFormat="1" applyFont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0" fillId="0" borderId="15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30" fillId="0" borderId="6" xfId="0" applyFont="1" applyBorder="1" applyAlignment="1" applyProtection="1">
      <alignment wrapText="1"/>
      <protection locked="0"/>
    </xf>
    <xf numFmtId="0" fontId="4" fillId="9" borderId="10" xfId="0" applyFont="1" applyFill="1" applyBorder="1" applyAlignment="1" applyProtection="1">
      <alignment horizontal="center" vertical="center"/>
      <protection locked="0"/>
    </xf>
    <xf numFmtId="164" fontId="4" fillId="9" borderId="10" xfId="0" applyNumberFormat="1" applyFont="1" applyFill="1" applyBorder="1" applyAlignment="1">
      <alignment horizontal="center" vertical="center"/>
    </xf>
    <xf numFmtId="14" fontId="30" fillId="9" borderId="10" xfId="0" applyNumberFormat="1" applyFont="1" applyFill="1" applyBorder="1" applyAlignment="1" applyProtection="1">
      <alignment horizontal="center" vertical="center" wrapText="1"/>
      <protection locked="0"/>
    </xf>
    <xf numFmtId="0" fontId="31" fillId="9" borderId="10" xfId="0" applyFont="1" applyFill="1" applyBorder="1" applyAlignment="1" applyProtection="1">
      <alignment horizontal="center" vertical="center" wrapText="1"/>
      <protection locked="0"/>
    </xf>
    <xf numFmtId="0" fontId="0" fillId="9" borderId="10" xfId="0" applyFill="1" applyBorder="1" applyAlignment="1" applyProtection="1">
      <alignment horizontal="center" vertical="center" wrapText="1"/>
      <protection locked="0"/>
    </xf>
    <xf numFmtId="14" fontId="38" fillId="9" borderId="29" xfId="0" applyNumberFormat="1" applyFont="1" applyFill="1" applyBorder="1" applyAlignment="1" applyProtection="1">
      <alignment horizontal="center" vertical="center"/>
      <protection locked="0"/>
    </xf>
    <xf numFmtId="0" fontId="32" fillId="9" borderId="6" xfId="0" applyFont="1" applyFill="1" applyBorder="1" applyAlignment="1" applyProtection="1">
      <alignment horizontal="center" vertical="center" wrapText="1"/>
      <protection locked="0"/>
    </xf>
    <xf numFmtId="0" fontId="4" fillId="8" borderId="6" xfId="0" applyFont="1" applyFill="1" applyBorder="1" applyAlignment="1" applyProtection="1">
      <alignment horizontal="center" vertical="center"/>
      <protection locked="0"/>
    </xf>
    <xf numFmtId="164" fontId="4" fillId="8" borderId="6" xfId="0" applyNumberFormat="1" applyFont="1" applyFill="1" applyBorder="1" applyAlignment="1">
      <alignment horizontal="center" vertical="center"/>
    </xf>
    <xf numFmtId="0" fontId="35" fillId="8" borderId="12" xfId="0" applyFont="1" applyFill="1" applyBorder="1" applyAlignment="1" applyProtection="1">
      <alignment horizontal="center" vertical="center" wrapText="1"/>
      <protection locked="0"/>
    </xf>
    <xf numFmtId="0" fontId="0" fillId="8" borderId="12" xfId="0" applyFill="1" applyBorder="1" applyAlignment="1" applyProtection="1">
      <alignment horizontal="center" vertical="center" wrapText="1"/>
      <protection locked="0"/>
    </xf>
    <xf numFmtId="14" fontId="9" fillId="8" borderId="12" xfId="0" applyNumberFormat="1" applyFont="1" applyFill="1" applyBorder="1" applyAlignment="1" applyProtection="1">
      <alignment horizontal="center" vertical="center" wrapText="1"/>
      <protection locked="0"/>
    </xf>
    <xf numFmtId="0" fontId="11" fillId="8" borderId="12" xfId="0" applyFont="1" applyFill="1" applyBorder="1" applyAlignment="1" applyProtection="1">
      <alignment horizontal="center" vertical="center" wrapText="1"/>
      <protection locked="0"/>
    </xf>
    <xf numFmtId="14" fontId="0" fillId="8" borderId="6" xfId="0" applyNumberFormat="1" applyFill="1" applyBorder="1" applyAlignment="1" applyProtection="1">
      <alignment horizontal="center" vertical="center" wrapText="1"/>
      <protection locked="0"/>
    </xf>
    <xf numFmtId="14" fontId="11" fillId="8" borderId="12" xfId="0" applyNumberFormat="1" applyFont="1" applyFill="1" applyBorder="1" applyAlignment="1" applyProtection="1">
      <alignment horizontal="center" vertical="center" wrapText="1"/>
      <protection locked="0"/>
    </xf>
    <xf numFmtId="14" fontId="52" fillId="9" borderId="11" xfId="0" applyNumberFormat="1" applyFont="1" applyFill="1" applyBorder="1" applyAlignment="1" applyProtection="1">
      <alignment horizontal="center" vertical="center"/>
      <protection locked="0"/>
    </xf>
    <xf numFmtId="14" fontId="52" fillId="9" borderId="15" xfId="0" applyNumberFormat="1" applyFont="1" applyFill="1" applyBorder="1" applyAlignment="1" applyProtection="1">
      <alignment horizontal="center" vertical="center"/>
      <protection locked="0"/>
    </xf>
    <xf numFmtId="0" fontId="53" fillId="8" borderId="6" xfId="0" applyFont="1" applyFill="1" applyBorder="1" applyAlignment="1" applyProtection="1">
      <alignment horizontal="center" vertical="center" wrapText="1"/>
      <protection locked="0"/>
    </xf>
    <xf numFmtId="14" fontId="52" fillId="0" borderId="11" xfId="0" applyNumberFormat="1" applyFont="1" applyBorder="1" applyAlignment="1" applyProtection="1">
      <alignment horizontal="center" vertical="center"/>
      <protection locked="0"/>
    </xf>
    <xf numFmtId="14" fontId="54" fillId="0" borderId="11" xfId="0" applyNumberFormat="1" applyFont="1" applyBorder="1" applyAlignment="1" applyProtection="1">
      <alignment horizontal="center" vertical="center"/>
      <protection locked="0"/>
    </xf>
    <xf numFmtId="0" fontId="0" fillId="8" borderId="6" xfId="0" applyFill="1" applyBorder="1" applyAlignment="1" applyProtection="1">
      <alignment horizontal="center" vertical="center" wrapText="1"/>
      <protection locked="0"/>
    </xf>
    <xf numFmtId="14" fontId="11" fillId="8" borderId="6" xfId="0" applyNumberFormat="1" applyFont="1" applyFill="1" applyBorder="1" applyAlignment="1" applyProtection="1">
      <alignment horizontal="center" vertical="center" wrapText="1"/>
      <protection locked="0"/>
    </xf>
    <xf numFmtId="14" fontId="9" fillId="8" borderId="6" xfId="0" applyNumberFormat="1" applyFont="1" applyFill="1" applyBorder="1" applyAlignment="1" applyProtection="1">
      <alignment horizontal="center" vertical="center" wrapText="1"/>
      <protection locked="0"/>
    </xf>
    <xf numFmtId="0" fontId="4" fillId="10" borderId="6" xfId="0" applyFont="1" applyFill="1" applyBorder="1" applyAlignment="1" applyProtection="1">
      <alignment horizontal="center" vertical="center"/>
      <protection locked="0"/>
    </xf>
    <xf numFmtId="164" fontId="4" fillId="10" borderId="6" xfId="0" applyNumberFormat="1" applyFont="1" applyFill="1" applyBorder="1" applyAlignment="1">
      <alignment horizontal="center" vertical="center"/>
    </xf>
    <xf numFmtId="0" fontId="31" fillId="10" borderId="12" xfId="0" applyFont="1" applyFill="1" applyBorder="1" applyAlignment="1" applyProtection="1">
      <alignment horizontal="center" vertical="center" wrapText="1"/>
      <protection locked="0"/>
    </xf>
    <xf numFmtId="14" fontId="31" fillId="10" borderId="12" xfId="0" applyNumberFormat="1" applyFont="1" applyFill="1" applyBorder="1" applyAlignment="1" applyProtection="1">
      <alignment horizontal="center" vertical="center" wrapText="1"/>
      <protection locked="0"/>
    </xf>
    <xf numFmtId="0" fontId="30" fillId="10" borderId="6" xfId="0" applyFont="1" applyFill="1" applyBorder="1" applyAlignment="1" applyProtection="1">
      <alignment horizontal="center" vertical="center" wrapText="1"/>
      <protection locked="0"/>
    </xf>
    <xf numFmtId="0" fontId="30" fillId="10" borderId="6" xfId="0" applyFont="1" applyFill="1" applyBorder="1" applyAlignment="1" applyProtection="1">
      <alignment horizontal="center" vertical="center"/>
      <protection locked="0"/>
    </xf>
    <xf numFmtId="0" fontId="0" fillId="10" borderId="12" xfId="0" applyFill="1" applyBorder="1" applyAlignment="1" applyProtection="1">
      <alignment horizontal="center" vertical="center" wrapText="1"/>
      <protection locked="0"/>
    </xf>
    <xf numFmtId="14" fontId="0" fillId="10" borderId="12" xfId="0" applyNumberFormat="1" applyFill="1" applyBorder="1" applyAlignment="1" applyProtection="1">
      <alignment horizontal="center" vertical="center" wrapText="1"/>
      <protection locked="0"/>
    </xf>
    <xf numFmtId="14" fontId="38" fillId="10" borderId="11" xfId="0" applyNumberFormat="1" applyFont="1" applyFill="1" applyBorder="1" applyAlignment="1" applyProtection="1">
      <alignment horizontal="center" vertical="center"/>
      <protection locked="0"/>
    </xf>
    <xf numFmtId="0" fontId="0" fillId="9" borderId="0" xfId="0" applyFill="1" applyAlignment="1" applyProtection="1">
      <alignment horizontal="center"/>
      <protection locked="0"/>
    </xf>
    <xf numFmtId="0" fontId="0" fillId="8" borderId="11" xfId="0" applyFill="1" applyBorder="1" applyAlignment="1" applyProtection="1">
      <alignment horizontal="center" vertical="center" wrapText="1"/>
      <protection locked="0"/>
    </xf>
    <xf numFmtId="14" fontId="34" fillId="8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8" borderId="6" xfId="0" applyFont="1" applyFill="1" applyBorder="1" applyAlignment="1" applyProtection="1">
      <alignment horizontal="center" vertical="center" wrapText="1"/>
      <protection locked="0"/>
    </xf>
    <xf numFmtId="0" fontId="40" fillId="8" borderId="15" xfId="0" applyFont="1" applyFill="1" applyBorder="1" applyAlignment="1" applyProtection="1">
      <alignment horizontal="center" vertical="center" wrapText="1"/>
      <protection locked="0"/>
    </xf>
    <xf numFmtId="0" fontId="4" fillId="8" borderId="9" xfId="0" applyFont="1" applyFill="1" applyBorder="1" applyAlignment="1" applyProtection="1">
      <alignment horizontal="center" vertical="center"/>
      <protection locked="0"/>
    </xf>
    <xf numFmtId="164" fontId="4" fillId="8" borderId="9" xfId="0" applyNumberFormat="1" applyFont="1" applyFill="1" applyBorder="1" applyAlignment="1">
      <alignment horizontal="center" vertical="center"/>
    </xf>
    <xf numFmtId="14" fontId="0" fillId="8" borderId="6" xfId="0" applyNumberFormat="1" applyFill="1" applyBorder="1" applyAlignment="1" applyProtection="1">
      <alignment horizontal="center" vertical="center"/>
      <protection locked="0"/>
    </xf>
    <xf numFmtId="0" fontId="0" fillId="8" borderId="6" xfId="0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4" fillId="9" borderId="30" xfId="0" applyFont="1" applyFill="1" applyBorder="1" applyAlignment="1" applyProtection="1">
      <alignment horizontal="center" vertical="center"/>
      <protection locked="0"/>
    </xf>
    <xf numFmtId="164" fontId="4" fillId="9" borderId="29" xfId="0" applyNumberFormat="1" applyFont="1" applyFill="1" applyBorder="1" applyAlignment="1">
      <alignment horizontal="center" vertical="center"/>
    </xf>
    <xf numFmtId="0" fontId="53" fillId="9" borderId="15" xfId="0" applyFont="1" applyFill="1" applyBorder="1" applyAlignment="1" applyProtection="1">
      <alignment horizontal="center" vertical="center" wrapText="1"/>
      <protection locked="0"/>
    </xf>
    <xf numFmtId="0" fontId="4" fillId="9" borderId="9" xfId="0" applyFont="1" applyFill="1" applyBorder="1" applyAlignment="1" applyProtection="1">
      <alignment horizontal="center" vertical="center"/>
      <protection locked="0"/>
    </xf>
    <xf numFmtId="14" fontId="0" fillId="9" borderId="10" xfId="0" applyNumberFormat="1" applyFill="1" applyBorder="1" applyAlignment="1" applyProtection="1">
      <alignment horizontal="center" vertical="center"/>
      <protection locked="0"/>
    </xf>
    <xf numFmtId="0" fontId="0" fillId="9" borderId="10" xfId="0" applyFill="1" applyBorder="1" applyAlignment="1" applyProtection="1">
      <alignment horizontal="center" vertical="center"/>
      <protection locked="0"/>
    </xf>
    <xf numFmtId="0" fontId="31" fillId="10" borderId="6" xfId="0" applyFont="1" applyFill="1" applyBorder="1" applyAlignment="1" applyProtection="1">
      <alignment horizontal="center" vertical="center" wrapText="1"/>
      <protection locked="0"/>
    </xf>
    <xf numFmtId="14" fontId="31" fillId="10" borderId="6" xfId="0" applyNumberFormat="1" applyFont="1" applyFill="1" applyBorder="1" applyAlignment="1" applyProtection="1">
      <alignment horizontal="center" vertical="center" wrapText="1"/>
      <protection locked="0"/>
    </xf>
    <xf numFmtId="0" fontId="10" fillId="10" borderId="6" xfId="0" applyFont="1" applyFill="1" applyBorder="1" applyAlignment="1" applyProtection="1">
      <alignment horizontal="center" vertical="center" wrapText="1"/>
      <protection locked="0"/>
    </xf>
    <xf numFmtId="0" fontId="40" fillId="10" borderId="11" xfId="0" applyFont="1" applyFill="1" applyBorder="1" applyAlignment="1" applyProtection="1">
      <alignment horizontal="center" vertical="center" wrapText="1"/>
      <protection locked="0"/>
    </xf>
    <xf numFmtId="14" fontId="29" fillId="8" borderId="11" xfId="0" applyNumberFormat="1" applyFont="1" applyFill="1" applyBorder="1" applyAlignment="1" applyProtection="1">
      <alignment horizontal="center" vertical="center"/>
      <protection locked="0"/>
    </xf>
    <xf numFmtId="0" fontId="23" fillId="0" borderId="28" xfId="0" applyFont="1" applyBorder="1" applyAlignment="1">
      <alignment horizontal="center"/>
    </xf>
    <xf numFmtId="0" fontId="9" fillId="8" borderId="0" xfId="0" applyFont="1" applyFill="1" applyAlignment="1">
      <alignment horizontal="center" wrapText="1"/>
    </xf>
    <xf numFmtId="0" fontId="8" fillId="2" borderId="19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10" borderId="9" xfId="0" applyFont="1" applyFill="1" applyBorder="1" applyAlignment="1" applyProtection="1">
      <alignment horizontal="center" vertical="center"/>
      <protection locked="0"/>
    </xf>
    <xf numFmtId="164" fontId="4" fillId="10" borderId="9" xfId="0" applyNumberFormat="1" applyFont="1" applyFill="1" applyBorder="1" applyAlignment="1">
      <alignment horizontal="center" vertical="center"/>
    </xf>
    <xf numFmtId="0" fontId="0" fillId="10" borderId="6" xfId="0" applyFill="1" applyBorder="1" applyAlignment="1" applyProtection="1">
      <alignment horizontal="center" vertical="center" wrapText="1"/>
      <protection locked="0"/>
    </xf>
    <xf numFmtId="14" fontId="0" fillId="10" borderId="6" xfId="0" applyNumberFormat="1" applyFill="1" applyBorder="1" applyAlignment="1" applyProtection="1">
      <alignment horizontal="center" vertical="center"/>
      <protection locked="0"/>
    </xf>
    <xf numFmtId="0" fontId="0" fillId="10" borderId="6" xfId="0" applyFill="1" applyBorder="1" applyAlignment="1" applyProtection="1">
      <alignment horizontal="center" vertical="center"/>
      <protection locked="0"/>
    </xf>
    <xf numFmtId="0" fontId="0" fillId="10" borderId="0" xfId="0" applyFill="1" applyAlignment="1" applyProtection="1">
      <alignment horizontal="center" vertical="center"/>
      <protection locked="0"/>
    </xf>
    <xf numFmtId="14" fontId="0" fillId="10" borderId="6" xfId="0" applyNumberFormat="1" applyFill="1" applyBorder="1" applyAlignment="1" applyProtection="1">
      <alignment horizontal="center" vertical="center" wrapText="1"/>
      <protection locked="0"/>
    </xf>
    <xf numFmtId="14" fontId="54" fillId="10" borderId="11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343"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>
        <left style="thin">
          <color indexed="64"/>
        </left>
        <right style="thin">
          <color indexed="64"/>
        </right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textRotation="0" wrapText="1" indent="0" justifyLastLine="0" shrinkToFit="0" readingOrder="0"/>
      <border>
        <right style="thin">
          <color indexed="64"/>
        </right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4472C4"/>
      <color rgb="FF0099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otline1 - Antonio" id="{1948310C-A27C-467A-B727-AFE7D7DA4A80}" userId="S::hotline1@brgm.fr::745405e0-9ef8-4d7a-bd91-f2385532d6bd" providerId="AD"/>
  <person displayName="hotline2 -  Laurent" id="{25E4EBED-7648-4BBC-ACF7-AC1C0F4AABDC}" userId="S::hotline2@brgm.fr::0ae07a92-0eda-4deb-a314-672c8603472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E95B604-507F-A648-A625-72FF56F546AC}" name="Tableau14" displayName="Tableau14" ref="A1:A13" totalsRowShown="0" dataDxfId="342" headerRowBorderDxfId="340" tableBorderDxfId="341">
  <autoFilter ref="A1:A13" xr:uid="{CE95B604-507F-A648-A625-72FF56F546AC}"/>
  <tableColumns count="1">
    <tableColumn id="1" xr3:uid="{BEBE085B-DA73-1447-80EA-18CF880D83C9}" name="Mois" dataDxfId="3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AB423-88B0-42FE-9414-A792F1C4F3A2}" name="Tableau1" displayName="Tableau1" ref="B4:N20" headerRowDxfId="338" headerRowBorderDxfId="336" tableBorderDxfId="337">
  <autoFilter ref="B4:N20" xr:uid="{F26AB423-88B0-42FE-9414-A792F1C4F3A2}"/>
  <sortState xmlns:xlrd2="http://schemas.microsoft.com/office/spreadsheetml/2017/richdata2" ref="B5:N20">
    <sortCondition ref="N4:N20"/>
  </sortState>
  <tableColumns count="13">
    <tableColumn id="1" xr3:uid="{86E441A8-5520-4D4B-8E6B-BD7AE64BD575}" name="N° de téléphone" totalsRowLabel="Total" dataDxfId="334" totalsRowDxfId="335"/>
    <tableColumn id="12" xr3:uid="{18073C7F-E959-4568-8E4D-CC5517E66D74}" name="N°Téléphone" dataDxfId="333">
      <calculatedColumnFormula>IFERROR(VLOOKUP(B5, Base_numéro!A:B, 2, FALSE), "")</calculatedColumnFormula>
    </tableColumn>
    <tableColumn id="2" xr3:uid="{0BD8B1B5-3AE0-4BC2-9D6B-268AA4C8631C}" name="Nom de l'emprunteur" dataDxfId="331" totalsRowDxfId="332"/>
    <tableColumn id="3" xr3:uid="{C9AC5E77-2684-4C44-8367-B4E8C013229D}" name="N° de dossier" dataDxfId="329" totalsRowDxfId="330"/>
    <tableColumn id="4" xr3:uid="{690BB2AD-C63D-4825-BFCD-C14C05E82DE7}" name="Date début de Loc" dataDxfId="327" totalsRowDxfId="328"/>
    <tableColumn id="5" xr3:uid="{BE033A40-169B-4C42-AD6F-6B03F56E7BDA}" name="Date de fin de Loc prévu" dataDxfId="325" totalsRowDxfId="326"/>
    <tableColumn id="6" xr3:uid="{06BF8129-FED0-4384-9631-BA5258ACF13F}" name="Retour location" dataDxfId="323" totalsRowDxfId="324"/>
    <tableColumn id="13" xr3:uid="{657B9888-72AB-41F4-891F-B23F38EBE9A4}" name="Récupéré par le " dataDxfId="321" totalsRowDxfId="322"/>
    <tableColumn id="7" xr3:uid="{C37D8591-C7FF-438E-B72B-021416731422}" name="imputation" dataDxfId="319" totalsRowDxfId="320"/>
    <tableColumn id="8" xr3:uid="{17AF4D9D-FBDA-4D63-88B6-F9E12741792D}" name="Destination" dataDxfId="317" totalsRowDxfId="318"/>
    <tableColumn id="11" xr3:uid="{D72E2B7C-80D1-4C5D-8D40-AA61998AA39C}" name="N° Formulaire FE008" dataDxfId="315" totalsRowDxfId="316"/>
    <tableColumn id="9" xr3:uid="{AA0AECE0-DFDC-43C9-A002-95D94B7A2D43}" name="Enregistrement dans EDI" dataDxfId="313" totalsRowDxfId="314"/>
    <tableColumn id="10" xr3:uid="{C4374DD8-7D6E-49BA-BD8D-3D4E9697F359}" name="Status" totalsRowFunction="count" dataDxfId="311" totalsRowDxfId="312"/>
  </tableColumns>
  <tableStyleInfo name="TableStyleMedium13" showFirstColumn="0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F1F3A8-D78C-47DC-A883-F24058D74094}" name="Tableau13" displayName="Tableau13" ref="B4:N20" headerRowDxfId="310" headerRowBorderDxfId="308" tableBorderDxfId="309">
  <autoFilter ref="B4:N20" xr:uid="{F26AB423-88B0-42FE-9414-A792F1C4F3A2}"/>
  <tableColumns count="13">
    <tableColumn id="1" xr3:uid="{E5467320-A4CE-4C6B-A97F-F28D02718021}" name="N° de téléphone" totalsRowLabel="Total" dataDxfId="306" totalsRowDxfId="307"/>
    <tableColumn id="12" xr3:uid="{92BA7FE6-EFDB-45F6-B02A-EDB63B2B2126}" name="N°Téléphone" dataDxfId="305">
      <calculatedColumnFormula>IFERROR(VLOOKUP(B5, Base_numéro!A:B, 2, FALSE), "")</calculatedColumnFormula>
    </tableColumn>
    <tableColumn id="2" xr3:uid="{6FE34F1C-AD01-4555-AFD5-D1B4238981DF}" name="Nom de l'emprunteur" dataDxfId="303" totalsRowDxfId="304"/>
    <tableColumn id="3" xr3:uid="{066D8690-B1A4-4171-A830-DB9279B2FA44}" name="N° de dossier" dataDxfId="301" totalsRowDxfId="302"/>
    <tableColumn id="4" xr3:uid="{85E71045-A191-461D-9909-3341821A1A14}" name="Date début de Loc" dataDxfId="299" totalsRowDxfId="300"/>
    <tableColumn id="5" xr3:uid="{BC89B507-D649-4BDF-B409-DF485AEFE3C9}" name="Date de fin de Loc prévu" dataDxfId="297" totalsRowDxfId="298"/>
    <tableColumn id="6" xr3:uid="{A071CAE3-323C-4690-A07A-AD7532A78BCA}" name="Retour location" dataDxfId="295" totalsRowDxfId="296"/>
    <tableColumn id="13" xr3:uid="{2C06C81C-0DC4-4EC9-82A5-B68664558DCB}" name="Récupéré par le " dataDxfId="293" totalsRowDxfId="294"/>
    <tableColumn id="7" xr3:uid="{DEA4B450-E5FF-4B5B-A59F-13C4C7A86ED3}" name="imputation" dataDxfId="291" totalsRowDxfId="292"/>
    <tableColumn id="8" xr3:uid="{FAB9252A-81E3-4A87-8010-A52CA342978D}" name="Destination" dataDxfId="289" totalsRowDxfId="290"/>
    <tableColumn id="11" xr3:uid="{B88B3DAE-713C-4E82-B4B3-0EEF8EECB796}" name="N° Formulaire FE008" dataDxfId="287" totalsRowDxfId="288"/>
    <tableColumn id="9" xr3:uid="{116E473B-F184-41AE-9F05-79C922F8B282}" name="Enregistrement dans EDI" dataDxfId="285" totalsRowDxfId="286"/>
    <tableColumn id="10" xr3:uid="{BC3D002C-8B17-47DA-9DE2-1BB777C12E39}" name="Status" totalsRowFunction="count" dataDxfId="283" totalsRowDxfId="284"/>
  </tableColumns>
  <tableStyleInfo name="TableStyleMedium13" showFirstColumn="0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F0A555-3D76-474C-9BDD-2DDFF336B948}" name="Tableau134" displayName="Tableau134" ref="B4:N20" headerRowDxfId="282" headerRowBorderDxfId="280" tableBorderDxfId="281">
  <autoFilter ref="B4:N20" xr:uid="{F26AB423-88B0-42FE-9414-A792F1C4F3A2}"/>
  <tableColumns count="13">
    <tableColumn id="1" xr3:uid="{88457394-493D-4785-81A5-06C841170C00}" name="N° de téléphone" totalsRowLabel="Total" dataDxfId="278" totalsRowDxfId="279"/>
    <tableColumn id="12" xr3:uid="{3C5D8087-2DD3-40E4-AAE9-08C149EAB0ED}" name="N°Téléphone" dataDxfId="277">
      <calculatedColumnFormula>IFERROR(VLOOKUP(B5, Base_numéro!A:B, 2, FALSE), "")</calculatedColumnFormula>
    </tableColumn>
    <tableColumn id="2" xr3:uid="{8533A07B-4C19-4E86-92D0-BAE7176F0297}" name="Nom de l'emprunteur" dataDxfId="275" totalsRowDxfId="276"/>
    <tableColumn id="3" xr3:uid="{193FC33B-DDE3-4644-82D1-37388DA76D24}" name="N° de dossier" dataDxfId="273" totalsRowDxfId="274"/>
    <tableColumn id="4" xr3:uid="{8D2A9D84-E6C0-422E-B6A5-0A7D72981900}" name="Date début de Loc" dataDxfId="271" totalsRowDxfId="272"/>
    <tableColumn id="5" xr3:uid="{22CC5074-5E62-4523-9C47-BF8B49458F2D}" name="Date de fin de Loc prévu" dataDxfId="269" totalsRowDxfId="270"/>
    <tableColumn id="6" xr3:uid="{B5FC150C-663C-4103-B58B-21B5C80B54A2}" name="Retour location" dataDxfId="267" totalsRowDxfId="268"/>
    <tableColumn id="13" xr3:uid="{47914F55-1A1C-4BBC-9550-16AC4832FDB7}" name="Récupéré par le " dataDxfId="265" totalsRowDxfId="266"/>
    <tableColumn id="7" xr3:uid="{2188734E-4DA2-4347-A8C5-A5FB062E5CA0}" name="imputation" dataDxfId="263" totalsRowDxfId="264"/>
    <tableColumn id="8" xr3:uid="{D5D966CB-47BD-4537-9399-2FCC7FC0C0BF}" name="Destination" dataDxfId="261" totalsRowDxfId="262"/>
    <tableColumn id="11" xr3:uid="{912D685F-2D98-4883-893E-6A62247BD7E3}" name="N° Formulaire FE008" dataDxfId="259" totalsRowDxfId="260"/>
    <tableColumn id="9" xr3:uid="{75C0B3D9-ADDE-4F6A-A417-AB6F654169FA}" name="Enregistrement dans EDI" dataDxfId="257" totalsRowDxfId="258"/>
    <tableColumn id="10" xr3:uid="{F48D4EB7-DFFA-451E-955E-23E1AC1417EC}" name="Status" totalsRowFunction="count" dataDxfId="255" totalsRowDxfId="256"/>
  </tableColumns>
  <tableStyleInfo name="TableStyleMedium13" showFirstColumn="0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292B40-42A8-4150-A63F-E6FF17A13DE2}" name="Tableau1345" displayName="Tableau1345" ref="B4:N20" headerRowDxfId="254" headerRowBorderDxfId="252" tableBorderDxfId="253">
  <autoFilter ref="B4:N20" xr:uid="{F26AB423-88B0-42FE-9414-A792F1C4F3A2}"/>
  <tableColumns count="13">
    <tableColumn id="1" xr3:uid="{87822290-83B8-4DE7-A7DB-A230A9501CF0}" name="N° de téléphone" totalsRowLabel="Total" dataDxfId="250" totalsRowDxfId="251"/>
    <tableColumn id="12" xr3:uid="{A1B69A68-644B-4F86-A40B-B01796B73CF1}" name="N°Téléphone" dataDxfId="249">
      <calculatedColumnFormula>IFERROR(VLOOKUP(B5, Base_numéro!A:B, 2, FALSE), "")</calculatedColumnFormula>
    </tableColumn>
    <tableColumn id="2" xr3:uid="{F83E6852-A8C1-4820-879F-3F800FEEAEB2}" name="Nom de l'emprunteur" dataDxfId="247" totalsRowDxfId="248"/>
    <tableColumn id="3" xr3:uid="{64EA79EC-7F82-4747-8DFE-5E51990CDFE9}" name="N° de dossier" dataDxfId="245" totalsRowDxfId="246"/>
    <tableColumn id="4" xr3:uid="{31E4C19C-DBC1-4AE7-AA31-501B709F4C39}" name="Date début de Loc" dataDxfId="243" totalsRowDxfId="244"/>
    <tableColumn id="5" xr3:uid="{7CF14F1E-457A-458C-A4AF-388DDED1C00F}" name="Date de fin de Loc prévu" dataDxfId="241" totalsRowDxfId="242"/>
    <tableColumn id="6" xr3:uid="{3149F630-685A-4EE1-8157-1143C71564AF}" name="Retour location" dataDxfId="239" totalsRowDxfId="240"/>
    <tableColumn id="13" xr3:uid="{8F569E3A-40B8-40D4-B001-12ECE38BD59C}" name="Récupéré par le " dataDxfId="237" totalsRowDxfId="238"/>
    <tableColumn id="7" xr3:uid="{0384459D-D58B-4649-99FA-69EA1834596D}" name="imputation" dataDxfId="235" totalsRowDxfId="236"/>
    <tableColumn id="8" xr3:uid="{60AD1E57-4A5D-40A7-A228-25D764E3988D}" name="Destination" dataDxfId="233" totalsRowDxfId="234"/>
    <tableColumn id="11" xr3:uid="{B573409D-B795-49F3-9A93-F200B6306D85}" name="N° Formulaire FE008" dataDxfId="231" totalsRowDxfId="232"/>
    <tableColumn id="9" xr3:uid="{D79E3F93-0755-4F0D-B432-76A58629B29D}" name="Enregistrement dans EDI" dataDxfId="229" totalsRowDxfId="230"/>
    <tableColumn id="10" xr3:uid="{2493DEF3-0291-459D-8287-A947B6B99FFA}" name="Status" totalsRowFunction="count" dataDxfId="227" totalsRowDxfId="228"/>
  </tableColumns>
  <tableStyleInfo name="TableStyleMedium13" showFirstColumn="0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187F19-6EC0-4A5A-9FF9-088B5545A6D9}" name="Tableau13456" displayName="Tableau13456" ref="B4:N20" headerRowDxfId="226" headerRowBorderDxfId="224" tableBorderDxfId="225">
  <autoFilter ref="B4:N20" xr:uid="{F26AB423-88B0-42FE-9414-A792F1C4F3A2}"/>
  <tableColumns count="13">
    <tableColumn id="1" xr3:uid="{CDAFB4DF-A23F-49B6-A6A0-D8385670C918}" name="N° de téléphone" totalsRowLabel="Total" dataDxfId="222" totalsRowDxfId="223"/>
    <tableColumn id="12" xr3:uid="{30804499-70B4-452A-B060-A5F9C3D1C402}" name="N°Téléphone" dataDxfId="221">
      <calculatedColumnFormula>IFERROR(VLOOKUP(B5, Base_numéro!A:B, 2, FALSE), "")</calculatedColumnFormula>
    </tableColumn>
    <tableColumn id="2" xr3:uid="{B5E974DB-D9D4-4D82-8722-C740855429AA}" name="Nom de l'emprunteur" dataDxfId="219" totalsRowDxfId="220"/>
    <tableColumn id="3" xr3:uid="{21207979-CBE1-4FA9-B02D-B17090AC2B8F}" name="N° de dossier" dataDxfId="217" totalsRowDxfId="218"/>
    <tableColumn id="4" xr3:uid="{B6F92F0A-D3C6-4FA1-B786-5FF214ED03F1}" name="Date début de Loc" dataDxfId="215" totalsRowDxfId="216"/>
    <tableColumn id="5" xr3:uid="{EEACD181-2828-43BC-8552-66C5B195819F}" name="Date de fin de Loc prévu" dataDxfId="213" totalsRowDxfId="214"/>
    <tableColumn id="6" xr3:uid="{0A9767FC-96B1-4B2D-AE46-1BF449FCF627}" name="Retour location" dataDxfId="211" totalsRowDxfId="212"/>
    <tableColumn id="13" xr3:uid="{832425D1-3A5A-45D4-9C94-7F4FDE3B2F14}" name="Récupéré par le " dataDxfId="209" totalsRowDxfId="210"/>
    <tableColumn id="7" xr3:uid="{CB9A843F-0E0F-4A58-A98C-45977A9C31C3}" name="imputation" dataDxfId="207" totalsRowDxfId="208"/>
    <tableColumn id="8" xr3:uid="{15957377-2B63-455B-A088-498A7C513AF0}" name="Destination" dataDxfId="205" totalsRowDxfId="206"/>
    <tableColumn id="11" xr3:uid="{13C3A5CB-DE42-4E9A-A6D5-E4C12BFEB692}" name="N° Formulaire FE008" dataDxfId="203" totalsRowDxfId="204"/>
    <tableColumn id="9" xr3:uid="{98EC332F-F805-4DF6-8C18-3399280496CB}" name="Enregistrement dans EDI" dataDxfId="201" totalsRowDxfId="202"/>
    <tableColumn id="10" xr3:uid="{89C36045-5512-46E7-A9A9-F2F08A3517CE}" name="Status" totalsRowFunction="count" dataDxfId="199" totalsRowDxfId="200"/>
  </tableColumns>
  <tableStyleInfo name="TableStyleMedium13" showFirstColumn="0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89205C-B211-4416-8341-A79926DA2775}" name="Tableau134567" displayName="Tableau134567" ref="B4:N20" headerRowDxfId="198" headerRowBorderDxfId="196" tableBorderDxfId="197">
  <autoFilter ref="B4:N20" xr:uid="{F26AB423-88B0-42FE-9414-A792F1C4F3A2}"/>
  <sortState xmlns:xlrd2="http://schemas.microsoft.com/office/spreadsheetml/2017/richdata2" ref="B5:N20">
    <sortCondition ref="N4:N20"/>
  </sortState>
  <tableColumns count="13">
    <tableColumn id="1" xr3:uid="{CCEBA92A-8A4F-4009-AF4C-3AAE8CFE5594}" name="N° de téléphone" totalsRowLabel="Total" dataDxfId="194" totalsRowDxfId="195"/>
    <tableColumn id="12" xr3:uid="{A37AF9FD-35EE-49D0-8E33-9C0BB1EAF9A5}" name="N°Téléphone" dataDxfId="193">
      <calculatedColumnFormula>IFERROR(VLOOKUP(B5, Base_numéro!A:B, 2, FALSE), "")</calculatedColumnFormula>
    </tableColumn>
    <tableColumn id="2" xr3:uid="{9235E5CA-0DE9-4E55-9EC5-520ABDF77968}" name="Nom de l'emprunteur" dataDxfId="191" totalsRowDxfId="192"/>
    <tableColumn id="3" xr3:uid="{446A48C5-B704-43C6-A2CF-9E8674BE32AB}" name="N° de dossier" dataDxfId="189" totalsRowDxfId="190"/>
    <tableColumn id="4" xr3:uid="{4BFFA735-008E-4F1E-B5C9-D05D3B2D193D}" name="Date début de Loc" dataDxfId="187" totalsRowDxfId="188"/>
    <tableColumn id="5" xr3:uid="{8333801A-13C8-4AF7-8049-8AF4F5BEC103}" name="Date de fin de Loc prévu" dataDxfId="185" totalsRowDxfId="186"/>
    <tableColumn id="6" xr3:uid="{2204B86C-0D9D-40DE-B547-DC55D01F087B}" name="Retour location" dataDxfId="183" totalsRowDxfId="184"/>
    <tableColumn id="13" xr3:uid="{F5AC4559-F0BE-4BBD-9DC9-39DE7765639F}" name="Récupéré par le " dataDxfId="181" totalsRowDxfId="182"/>
    <tableColumn id="7" xr3:uid="{462212AC-1378-42F2-BC48-93B852DB7808}" name="imputation" dataDxfId="179" totalsRowDxfId="180"/>
    <tableColumn id="8" xr3:uid="{9C03F184-F028-430E-97E3-F513FEF47614}" name="Destination" dataDxfId="177" totalsRowDxfId="178"/>
    <tableColumn id="11" xr3:uid="{2F6D728F-97D7-4ABA-9503-417A9940F8FB}" name="N° Formulaire FE008" dataDxfId="175" totalsRowDxfId="176"/>
    <tableColumn id="9" xr3:uid="{78827719-60EA-4372-A598-B6C1D8E534DD}" name="Enregistrement dans EDI" dataDxfId="173" totalsRowDxfId="174"/>
    <tableColumn id="10" xr3:uid="{C37A9086-2AFD-47EE-885D-542314F5541A}" name="Status" totalsRowFunction="count" dataDxfId="171" totalsRowDxfId="172"/>
  </tableColumns>
  <tableStyleInfo name="TableStyleMedium13" showFirstColumn="0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131D91-8D39-477B-900B-E55F2060FD41}" name="Tableau1345678" displayName="Tableau1345678" ref="B4:N20" headerRowDxfId="170" headerRowBorderDxfId="168" tableBorderDxfId="169">
  <autoFilter ref="B4:N20" xr:uid="{F26AB423-88B0-42FE-9414-A792F1C4F3A2}"/>
  <sortState xmlns:xlrd2="http://schemas.microsoft.com/office/spreadsheetml/2017/richdata2" ref="B5:N20">
    <sortCondition ref="N4:N20"/>
  </sortState>
  <tableColumns count="13">
    <tableColumn id="1" xr3:uid="{52FA520C-954D-469C-B80B-0CCFEB29F4D2}" name="N° de TLP" totalsRowLabel="Total" dataDxfId="166" totalsRowDxfId="167"/>
    <tableColumn id="12" xr3:uid="{DF01BAA3-2448-4E14-9BE5-EA6BE7178973}" name="N°Téléphone" dataDxfId="165">
      <calculatedColumnFormula>IFERROR(VLOOKUP(B5, Base_numéro!A:B, 2, FALSE), "")</calculatedColumnFormula>
    </tableColumn>
    <tableColumn id="2" xr3:uid="{E41AF9D2-36F1-4297-8DE7-065BCC7826A9}" name="Nom de l'emprunteur" dataDxfId="163" totalsRowDxfId="164"/>
    <tableColumn id="3" xr3:uid="{A5B1AA6C-6BA9-4E24-80D6-9973594075B2}" name="N° de dossier" dataDxfId="161" totalsRowDxfId="162"/>
    <tableColumn id="4" xr3:uid="{1747742D-CCD8-4BD4-9BBC-D8A5AA30ED67}" name="Date début de Loc" dataDxfId="159" totalsRowDxfId="160"/>
    <tableColumn id="5" xr3:uid="{191BC9DF-9532-4070-AF3A-94169CA65A87}" name="Date de fin de Loc prévu" dataDxfId="157" totalsRowDxfId="158"/>
    <tableColumn id="6" xr3:uid="{A4175EC8-C78B-4E4C-B70A-55712392B4B3}" name="Retour location" dataDxfId="155" totalsRowDxfId="156"/>
    <tableColumn id="13" xr3:uid="{379FCC16-2579-46FB-9CE9-BEB7423627E1}" name="Récupéré par le " dataDxfId="153" totalsRowDxfId="154"/>
    <tableColumn id="7" xr3:uid="{6F1FB54E-A431-41CA-84A9-EC387C5AF085}" name="imputation" dataDxfId="151" totalsRowDxfId="152"/>
    <tableColumn id="8" xr3:uid="{2BC24F15-3222-47FC-8F36-0079045A1A75}" name="Destination" dataDxfId="149" totalsRowDxfId="150"/>
    <tableColumn id="11" xr3:uid="{7EB3840E-9C79-4175-BF27-C684F0A75D15}" name="N° Formulaire FE008" dataDxfId="147" totalsRowDxfId="148"/>
    <tableColumn id="9" xr3:uid="{13EA0568-3F55-4CF9-ACD0-C14F7A9DF910}" name="Enregistrement dans EDI" dataDxfId="145" totalsRowDxfId="146"/>
    <tableColumn id="10" xr3:uid="{36F8BC26-7F5D-4BDF-BFAF-40C894D0B620}" name="Status" totalsRowFunction="count" dataDxfId="143" totalsRowDxfId="144"/>
  </tableColumns>
  <tableStyleInfo name="TableStyleMedium13" showFirstColumn="0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464591-06BC-465B-86DF-66A479C6A12E}" name="Tableau13456789" displayName="Tableau13456789" ref="B4:N20" headerRowDxfId="142" headerRowBorderDxfId="140" tableBorderDxfId="141">
  <autoFilter ref="B4:N20" xr:uid="{F26AB423-88B0-42FE-9414-A792F1C4F3A2}"/>
  <tableColumns count="13">
    <tableColumn id="1" xr3:uid="{40325192-7CC9-4855-9743-5CACDB54E4E4}" name="N° de téléphone" totalsRowLabel="Total" dataDxfId="138" totalsRowDxfId="139"/>
    <tableColumn id="12" xr3:uid="{8F5BA3F0-59E7-4AF3-A591-C5CC34702546}" name="N°Téléphone" dataDxfId="137">
      <calculatedColumnFormula>IFERROR(VLOOKUP(B5, Base_numéro!A:B, 2, FALSE), "")</calculatedColumnFormula>
    </tableColumn>
    <tableColumn id="2" xr3:uid="{DBF96312-ED7A-4CEA-9D19-020B5C7ABBEE}" name="Nom de l'emprunteur" dataDxfId="135" totalsRowDxfId="136"/>
    <tableColumn id="3" xr3:uid="{5258D02C-66D6-4D8D-8795-03DCABF0679E}" name="N° de dossier" dataDxfId="133" totalsRowDxfId="134"/>
    <tableColumn id="4" xr3:uid="{D661F40B-A3A8-4891-918D-D075BDA55CE1}" name="Date début de Loc" dataDxfId="131" totalsRowDxfId="132"/>
    <tableColumn id="5" xr3:uid="{7D1AA72E-F42B-4850-8DE4-E2A6DC9DA39D}" name="Date de fin de Loc prévu" dataDxfId="129" totalsRowDxfId="130"/>
    <tableColumn id="6" xr3:uid="{82E398DB-6AEF-4F95-8E70-C2B38BFE28D7}" name="Retour location" dataDxfId="127" totalsRowDxfId="128"/>
    <tableColumn id="13" xr3:uid="{5950DFF1-ADBE-44E7-939C-DF01E0E4937F}" name="Récupéré par le " dataDxfId="125" totalsRowDxfId="126"/>
    <tableColumn id="7" xr3:uid="{6D101177-6C8C-484D-998E-FE8EB0497FE4}" name="imputation" dataDxfId="123" totalsRowDxfId="124"/>
    <tableColumn id="8" xr3:uid="{6381A32D-F32D-40AD-9ED5-702E9D8C5D3F}" name="Destination" dataDxfId="121" totalsRowDxfId="122"/>
    <tableColumn id="11" xr3:uid="{D2154BF5-5FD7-4DB9-BF45-6AAF84C8388B}" name="N° Formulaire FE008" dataDxfId="119" totalsRowDxfId="120"/>
    <tableColumn id="9" xr3:uid="{B839DE2A-42F8-42BF-A5D3-C25D43FF0E79}" name="Enregistrement dans EDI" dataDxfId="117" totalsRowDxfId="118"/>
    <tableColumn id="10" xr3:uid="{5587635F-F1A8-415D-96BB-DEA94B7FE151}" name="Status" totalsRowFunction="count" dataDxfId="115" totalsRowDxfId="116"/>
  </tableColumns>
  <tableStyleInfo name="TableStyleMedium13" showFirstColumn="0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0B93300-7FC6-4531-A0A2-D146351FB52C}" name="Tableau1345678910" displayName="Tableau1345678910" ref="B4:N20" headerRowDxfId="114" headerRowBorderDxfId="112" tableBorderDxfId="113">
  <autoFilter ref="B4:N20" xr:uid="{F26AB423-88B0-42FE-9414-A792F1C4F3A2}"/>
  <tableColumns count="13">
    <tableColumn id="1" xr3:uid="{44EEEB33-182A-4E03-84B5-C19A87D301FF}" name="N° de téléphone" totalsRowLabel="Total" dataDxfId="110" totalsRowDxfId="111"/>
    <tableColumn id="12" xr3:uid="{AB5A0B4E-2732-4265-8ADC-2DCAA7D141C2}" name="N°Téléphone" dataDxfId="109">
      <calculatedColumnFormula>IFERROR(VLOOKUP(B5, Base_numéro!A:B, 2, FALSE), "")</calculatedColumnFormula>
    </tableColumn>
    <tableColumn id="2" xr3:uid="{15A6B828-0BF3-4431-975D-62DC6AA36185}" name="Nom de l'emprunteur" dataDxfId="107" totalsRowDxfId="108"/>
    <tableColumn id="3" xr3:uid="{E1E3AFE2-E8CA-4A7C-868C-9CD413A7C595}" name="N° de dossier" dataDxfId="105" totalsRowDxfId="106"/>
    <tableColumn id="4" xr3:uid="{BCDC22A5-C403-4C4B-8D6F-54F6FDD28674}" name="Date début de Loc" dataDxfId="103" totalsRowDxfId="104"/>
    <tableColumn id="5" xr3:uid="{4D7110ED-AF17-4C3F-9907-AECF6A4BA43D}" name="Date de fin de Loc prévu" dataDxfId="101" totalsRowDxfId="102"/>
    <tableColumn id="6" xr3:uid="{62CD016E-4862-4895-88F2-B476F94346EC}" name="Retour location" dataDxfId="99" totalsRowDxfId="100"/>
    <tableColumn id="13" xr3:uid="{971AE919-EEAE-45D1-A771-C360CBA3E3EB}" name="Récupéré par le " dataDxfId="97" totalsRowDxfId="98"/>
    <tableColumn id="7" xr3:uid="{F1F4AB9E-5D3B-4DEC-8E9D-4E97F2D7EBF3}" name="imputation" dataDxfId="95" totalsRowDxfId="96"/>
    <tableColumn id="8" xr3:uid="{7D95FFC2-AE07-4614-AA52-30F5FF1FDE2A}" name="Destination" dataDxfId="93" totalsRowDxfId="94"/>
    <tableColumn id="11" xr3:uid="{1316A28F-3C7D-42DE-8EE2-EF51EFDB73C4}" name="N° Formulaire FE008" dataDxfId="91" totalsRowDxfId="92"/>
    <tableColumn id="9" xr3:uid="{D3557743-23CD-4E25-A5C6-9F21751494F6}" name="Enregistrement dans EDI" dataDxfId="89" totalsRowDxfId="90"/>
    <tableColumn id="10" xr3:uid="{8EF01B80-3E38-4EBE-885E-D6FA1F1290C0}" name="Status" totalsRowFunction="count" dataDxfId="87" totalsRowDxfId="88"/>
  </tableColumns>
  <tableStyleInfo name="TableStyleMedium13" showFirstColumn="0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8B1C3D-8720-4757-BB0E-7B5F826332C6}" name="Tableau134567891011" displayName="Tableau134567891011" ref="B4:N20" headerRowDxfId="86" dataDxfId="85" headerRowBorderDxfId="83" tableBorderDxfId="84">
  <autoFilter ref="B4:N20" xr:uid="{F26AB423-88B0-42FE-9414-A792F1C4F3A2}"/>
  <tableColumns count="13">
    <tableColumn id="1" xr3:uid="{E807FA1F-2B21-4C61-831B-23C372AB2F48}" name="N° de téléphone" totalsRowLabel="Total" dataDxfId="81" totalsRowDxfId="82"/>
    <tableColumn id="12" xr3:uid="{F77B4E03-00A5-42F3-9AD1-F5D4EA635CEB}" name="N°Téléphone" dataDxfId="80">
      <calculatedColumnFormula>IFERROR(VLOOKUP(B5, Base_numéro!A:B, 2, FALSE), "")</calculatedColumnFormula>
    </tableColumn>
    <tableColumn id="2" xr3:uid="{0F6552A8-364D-4847-BF51-245FA9F9A633}" name="Nom de l'emprunteur" dataDxfId="78" totalsRowDxfId="79"/>
    <tableColumn id="3" xr3:uid="{A1BEFAD5-5181-471D-BA83-2F8D372AF821}" name="N° de dossier" dataDxfId="76" totalsRowDxfId="77"/>
    <tableColumn id="4" xr3:uid="{F6CF7D87-E6AD-4775-B661-94F640F2E93D}" name="Date début de Loc" dataDxfId="74" totalsRowDxfId="75"/>
    <tableColumn id="5" xr3:uid="{C32A0D86-6F9E-4195-8955-E27E9E19D3AB}" name="Date de fin de Loc prévu" dataDxfId="72" totalsRowDxfId="73"/>
    <tableColumn id="6" xr3:uid="{572228B7-C20B-4D6D-AFAE-B775AE704F7F}" name="Retour location" dataDxfId="70" totalsRowDxfId="71"/>
    <tableColumn id="13" xr3:uid="{DC644010-62CC-4E09-8AD9-423963A4186C}" name="Récupéré par le " dataDxfId="68" totalsRowDxfId="69"/>
    <tableColumn id="7" xr3:uid="{AA087A5E-C57D-425D-B20A-5BBE1D29D44A}" name="imputation" dataDxfId="66" totalsRowDxfId="67"/>
    <tableColumn id="8" xr3:uid="{2E550CB3-7B5E-4ACA-9CFA-D84BC43245D2}" name="Destination" dataDxfId="64" totalsRowDxfId="65"/>
    <tableColumn id="11" xr3:uid="{902352BD-A194-45FF-9E8B-EE0D1533FF61}" name="N° Formulaire FE008" dataDxfId="62" totalsRowDxfId="63"/>
    <tableColumn id="9" xr3:uid="{7D24840D-4FD2-4044-BE35-182DE945C954}" name="Enregistrement dans EDI" dataDxfId="60" totalsRowDxfId="61"/>
    <tableColumn id="10" xr3:uid="{C0589202-99EA-4703-A45C-84E31D938774}" name="Status" totalsRowFunction="count" dataDxfId="58" totalsRowDxfId="59"/>
  </tableColumns>
  <tableStyleInfo name="TableStyleMedium13" showFirstColumn="0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2771D8-7379-42D2-9079-380BC909F6AC}" name="Tableau13456789101112" displayName="Tableau13456789101112" ref="B4:N20" headerRowDxfId="57" dataDxfId="56" headerRowBorderDxfId="54" tableBorderDxfId="55">
  <autoFilter ref="B4:N20" xr:uid="{F26AB423-88B0-42FE-9414-A792F1C4F3A2}"/>
  <tableColumns count="13">
    <tableColumn id="1" xr3:uid="{92C79CCA-9C21-4D6B-A9AD-1DB533FCB21A}" name="N° de téléphone" totalsRowLabel="Total" dataDxfId="52" totalsRowDxfId="53"/>
    <tableColumn id="12" xr3:uid="{8AAFB977-5DD5-4C12-A62D-AE3991254977}" name="N°Téléphone" dataDxfId="51">
      <calculatedColumnFormula>IFERROR(VLOOKUP(B5, Base_numéro!A:B, 2, FALSE), "")</calculatedColumnFormula>
    </tableColumn>
    <tableColumn id="2" xr3:uid="{244724AB-D1BB-400E-A597-2D960CD42080}" name="Nom de l'emprunteur" dataDxfId="49" totalsRowDxfId="50"/>
    <tableColumn id="3" xr3:uid="{FAB82EE6-F05C-4548-B704-0468BEB42445}" name="N° de dossier" dataDxfId="47" totalsRowDxfId="48"/>
    <tableColumn id="4" xr3:uid="{EBA0274A-2DE9-4B4D-94E4-3F4C1107345F}" name="Date début de Loc" dataDxfId="45" totalsRowDxfId="46"/>
    <tableColumn id="5" xr3:uid="{717092A3-D9EC-4C20-BF55-59C0A62C8FAB}" name="Date de fin de Loc prévu" dataDxfId="43" totalsRowDxfId="44"/>
    <tableColumn id="6" xr3:uid="{35D010EB-E610-43B7-827F-9594CF9D382D}" name="Retour location" dataDxfId="41" totalsRowDxfId="42"/>
    <tableColumn id="13" xr3:uid="{5B335CA9-A819-4673-837D-5603C87B2D55}" name="Récupéré par le " dataDxfId="39" totalsRowDxfId="40"/>
    <tableColumn id="7" xr3:uid="{CECE7DCA-69FB-4893-BF10-9F80999289FE}" name="imputation" dataDxfId="37" totalsRowDxfId="38"/>
    <tableColumn id="8" xr3:uid="{DADA0CFD-C750-4ADE-B11C-630B4D26B5EF}" name="Destination" dataDxfId="35" totalsRowDxfId="36"/>
    <tableColumn id="11" xr3:uid="{E978D6A7-B735-444B-BE8F-F920BED51120}" name="N° Formulaire FE008" dataDxfId="33" totalsRowDxfId="34"/>
    <tableColumn id="9" xr3:uid="{290DEABD-D6A1-4B4D-BD91-BCF2BD692C3B}" name="Enregistrement dans EDI" dataDxfId="31" totalsRowDxfId="32"/>
    <tableColumn id="10" xr3:uid="{4F5D4145-9FE0-48E6-B592-2B8E0C7C3D0B}" name="Status" totalsRowFunction="count" dataDxfId="29" totalsRowDxfId="30"/>
  </tableColumns>
  <tableStyleInfo name="TableStyleMedium13" showFirstColumn="0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74DEEB8-9628-49EC-9AAB-EC746CDA7A60}" name="Tableau1345678910111213" displayName="Tableau1345678910111213" ref="B4:N20" headerRowDxfId="28" dataDxfId="27" headerRowBorderDxfId="25" tableBorderDxfId="26">
  <autoFilter ref="B4:N20" xr:uid="{F26AB423-88B0-42FE-9414-A792F1C4F3A2}"/>
  <tableColumns count="13">
    <tableColumn id="1" xr3:uid="{2A69DF4A-C149-45DF-9C92-E83AC0D48E48}" name="N° de téléphone" totalsRowLabel="Total" dataDxfId="23" totalsRowDxfId="24"/>
    <tableColumn id="12" xr3:uid="{6C578E41-64AF-4AF4-8FAF-95562713A47B}" name="N°Téléphone" dataDxfId="22">
      <calculatedColumnFormula>IFERROR(VLOOKUP(B5, Base_numéro!A:B, 2, FALSE), "")</calculatedColumnFormula>
    </tableColumn>
    <tableColumn id="2" xr3:uid="{F47D2B90-6E09-4D53-A90B-2D0D1985B7AF}" name="Nom de l'emprunteur" dataDxfId="20" totalsRowDxfId="21"/>
    <tableColumn id="3" xr3:uid="{5DF93955-E0C6-4DE6-9C1A-8756746C9281}" name="N° de dossier" dataDxfId="18" totalsRowDxfId="19"/>
    <tableColumn id="4" xr3:uid="{EFE3018F-22A1-4B3A-8ADD-850C95A5A031}" name="Date début de Loc" dataDxfId="16" totalsRowDxfId="17"/>
    <tableColumn id="5" xr3:uid="{1DB341B5-8668-416E-A816-2A36FE7E2B9E}" name="Date de fin de Loc prévu" dataDxfId="14" totalsRowDxfId="15"/>
    <tableColumn id="6" xr3:uid="{0A81FC27-C91D-4900-83ED-5ABE4011C4AD}" name="Retour location" dataDxfId="12" totalsRowDxfId="13"/>
    <tableColumn id="13" xr3:uid="{3AB22AB5-9E0A-44BA-B704-B7C907BC76B9}" name="Récupéré par le " dataDxfId="10" totalsRowDxfId="11"/>
    <tableColumn id="7" xr3:uid="{6166A1DE-52DF-4918-B6F9-0254A7FC3D02}" name="imputation" dataDxfId="8" totalsRowDxfId="9"/>
    <tableColumn id="8" xr3:uid="{BE2CDFD4-3DC1-45E5-832F-9CBC71F4591F}" name="Destination" dataDxfId="6" totalsRowDxfId="7"/>
    <tableColumn id="11" xr3:uid="{73005D60-C6D7-4CD0-A165-6F40304AF365}" name="N° Formulaire FE008" dataDxfId="4" totalsRowDxfId="5"/>
    <tableColumn id="9" xr3:uid="{AC76A587-EA00-4054-813D-9C6B203A1CAD}" name="Enregistrement dans EDI" dataDxfId="2" totalsRowDxfId="3"/>
    <tableColumn id="10" xr3:uid="{3A6C2E06-4A45-446D-91DD-B0C746EC75C2}" name="Status" totalsRowFunction="count" dataDxfId="0" totalsRowDxfId="1"/>
  </tableColumns>
  <tableStyleInfo name="TableStyleMedium13" showFirstColumn="0" showLastColumn="1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7" dT="2025-09-30T08:17:38.56" personId="{25E4EBED-7648-4BBC-ACF7-AC1C0F4AABDC}" id="{ED6DE843-9DD7-4F9A-BB67-FC426E0B92F1}">
    <text>boite manquante</text>
  </threadedComment>
  <threadedComment ref="H7" dT="2025-10-01T08:40:30.50" personId="{1948310C-A27C-467A-B727-AFE7D7DA4A80}" id="{5528A159-BD76-43E2-85A0-F6E321E37B0C}" parentId="{ED6DE843-9DD7-4F9A-BB67-FC426E0B92F1}">
    <text xml:space="preserve">Boite réstituée le 01/10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54E5-75D9-2F42-9B36-0C3894AD3054}">
  <dimension ref="A1:A13"/>
  <sheetViews>
    <sheetView workbookViewId="0">
      <selection activeCell="B14" sqref="B14"/>
    </sheetView>
  </sheetViews>
  <sheetFormatPr defaultColWidth="11.42578125" defaultRowHeight="15"/>
  <cols>
    <col min="1" max="1" width="39" bestFit="1" customWidth="1"/>
  </cols>
  <sheetData>
    <row r="1" spans="1:1" ht="15.75" thickBot="1">
      <c r="A1" s="8" t="s">
        <v>0</v>
      </c>
    </row>
    <row r="2" spans="1:1" ht="19.5" thickBot="1">
      <c r="A2" s="9" t="s">
        <v>1</v>
      </c>
    </row>
    <row r="3" spans="1:1" ht="19.5" thickBot="1">
      <c r="A3" s="9" t="s">
        <v>2</v>
      </c>
    </row>
    <row r="4" spans="1:1" ht="19.5" thickBot="1">
      <c r="A4" s="9" t="s">
        <v>3</v>
      </c>
    </row>
    <row r="5" spans="1:1" ht="19.5" thickBot="1">
      <c r="A5" s="9" t="s">
        <v>4</v>
      </c>
    </row>
    <row r="6" spans="1:1" ht="19.5" thickBot="1">
      <c r="A6" s="10" t="s">
        <v>5</v>
      </c>
    </row>
    <row r="7" spans="1:1" ht="19.5" thickBot="1">
      <c r="A7" s="9" t="s">
        <v>6</v>
      </c>
    </row>
    <row r="8" spans="1:1" ht="19.5" thickBot="1">
      <c r="A8" s="9" t="s">
        <v>7</v>
      </c>
    </row>
    <row r="9" spans="1:1" ht="19.5" thickBot="1">
      <c r="A9" s="9" t="s">
        <v>8</v>
      </c>
    </row>
    <row r="10" spans="1:1" ht="19.5" thickBot="1">
      <c r="A10" s="9" t="s">
        <v>9</v>
      </c>
    </row>
    <row r="11" spans="1:1" ht="19.5" thickBot="1">
      <c r="A11" s="9" t="s">
        <v>10</v>
      </c>
    </row>
    <row r="12" spans="1:1" ht="19.5" thickBot="1">
      <c r="A12" s="9" t="s">
        <v>11</v>
      </c>
    </row>
    <row r="13" spans="1:1" ht="18.75">
      <c r="A13" s="1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B45D-2CE8-4E9E-95A4-2BB9720AB360}">
  <sheetPr>
    <tabColor rgb="FF00B050"/>
  </sheetPr>
  <dimension ref="A1:K30"/>
  <sheetViews>
    <sheetView zoomScale="85" zoomScaleNormal="85" workbookViewId="0">
      <selection activeCell="C23" sqref="C23"/>
    </sheetView>
  </sheetViews>
  <sheetFormatPr defaultColWidth="11.42578125" defaultRowHeight="15"/>
  <cols>
    <col min="1" max="1" width="43.42578125" bestFit="1" customWidth="1"/>
    <col min="2" max="2" width="27.140625" bestFit="1" customWidth="1"/>
    <col min="3" max="3" width="16.7109375" bestFit="1" customWidth="1"/>
    <col min="4" max="4" width="42.42578125" bestFit="1" customWidth="1"/>
    <col min="5" max="5" width="20" customWidth="1"/>
    <col min="6" max="6" width="44.140625" bestFit="1" customWidth="1"/>
    <col min="7" max="7" width="17.42578125" customWidth="1"/>
    <col min="10" max="10" width="58.5703125" bestFit="1" customWidth="1"/>
  </cols>
  <sheetData>
    <row r="1" spans="1:11" ht="61.5" customHeight="1">
      <c r="A1" s="21" t="s">
        <v>13</v>
      </c>
      <c r="B1" s="22" t="s">
        <v>14</v>
      </c>
      <c r="C1" s="23" t="s">
        <v>15</v>
      </c>
      <c r="D1" s="24" t="s">
        <v>16</v>
      </c>
      <c r="E1" s="24" t="s">
        <v>17</v>
      </c>
      <c r="F1" s="25" t="s">
        <v>18</v>
      </c>
      <c r="G1" s="24" t="s">
        <v>19</v>
      </c>
      <c r="H1" s="26" t="s">
        <v>20</v>
      </c>
      <c r="I1" s="26" t="s">
        <v>21</v>
      </c>
      <c r="J1" s="27" t="s">
        <v>22</v>
      </c>
      <c r="K1" s="28"/>
    </row>
    <row r="2" spans="1:11" ht="15.75">
      <c r="A2" s="29" t="s">
        <v>23</v>
      </c>
      <c r="B2" s="30" t="s">
        <v>24</v>
      </c>
      <c r="C2" s="31"/>
      <c r="D2" s="30"/>
      <c r="E2" s="30"/>
      <c r="F2" s="30"/>
      <c r="G2" s="30"/>
      <c r="H2" s="32"/>
      <c r="I2" s="32"/>
      <c r="J2" s="33"/>
      <c r="K2" s="28"/>
    </row>
    <row r="3" spans="1:11" ht="15.75">
      <c r="A3" s="34" t="s">
        <v>25</v>
      </c>
      <c r="B3" s="35" t="s">
        <v>24</v>
      </c>
      <c r="C3" s="36"/>
      <c r="D3" s="35"/>
      <c r="E3" s="35"/>
      <c r="F3" s="35"/>
      <c r="G3" s="35"/>
      <c r="H3" s="37"/>
      <c r="I3" s="37"/>
      <c r="J3" s="39"/>
      <c r="K3" s="38"/>
    </row>
    <row r="4" spans="1:11" ht="15.75">
      <c r="A4" s="34" t="s">
        <v>26</v>
      </c>
      <c r="B4" s="35" t="s">
        <v>27</v>
      </c>
      <c r="C4" s="155">
        <v>618215501</v>
      </c>
      <c r="D4" s="35" t="s">
        <v>28</v>
      </c>
      <c r="E4" s="35" t="s">
        <v>29</v>
      </c>
      <c r="F4" s="35" t="s">
        <v>30</v>
      </c>
      <c r="G4" s="35" t="s">
        <v>29</v>
      </c>
      <c r="H4" s="40">
        <v>74001918</v>
      </c>
      <c r="I4" s="41" t="s">
        <v>31</v>
      </c>
      <c r="J4" s="42" t="s">
        <v>32</v>
      </c>
      <c r="K4" s="43"/>
    </row>
    <row r="5" spans="1:11" ht="15.75">
      <c r="A5" s="29" t="s">
        <v>33</v>
      </c>
      <c r="B5" s="30" t="s">
        <v>34</v>
      </c>
      <c r="C5" s="156">
        <v>612938590</v>
      </c>
      <c r="D5" s="30" t="s">
        <v>28</v>
      </c>
      <c r="E5" s="30" t="s">
        <v>29</v>
      </c>
      <c r="F5" s="44" t="s">
        <v>35</v>
      </c>
      <c r="G5" s="30" t="s">
        <v>29</v>
      </c>
      <c r="H5" s="45"/>
      <c r="I5" s="46" t="s">
        <v>31</v>
      </c>
      <c r="J5" s="47" t="s">
        <v>32</v>
      </c>
      <c r="K5" s="48"/>
    </row>
    <row r="6" spans="1:11" ht="15.75">
      <c r="A6" s="34" t="s">
        <v>36</v>
      </c>
      <c r="B6" s="35" t="s">
        <v>37</v>
      </c>
      <c r="C6" s="155">
        <v>622591384</v>
      </c>
      <c r="D6" s="35" t="s">
        <v>28</v>
      </c>
      <c r="E6" s="35" t="s">
        <v>29</v>
      </c>
      <c r="F6" s="35" t="s">
        <v>30</v>
      </c>
      <c r="G6" s="35" t="s">
        <v>29</v>
      </c>
      <c r="H6" s="40">
        <v>33547971</v>
      </c>
      <c r="I6" s="41" t="s">
        <v>38</v>
      </c>
      <c r="J6" s="49" t="s">
        <v>39</v>
      </c>
      <c r="K6" s="43"/>
    </row>
    <row r="7" spans="1:11" ht="15.75">
      <c r="A7" s="29" t="s">
        <v>40</v>
      </c>
      <c r="B7" s="30" t="s">
        <v>37</v>
      </c>
      <c r="C7" s="156">
        <v>643722933</v>
      </c>
      <c r="D7" s="30" t="s">
        <v>28</v>
      </c>
      <c r="E7" s="30" t="s">
        <v>29</v>
      </c>
      <c r="F7" s="30" t="s">
        <v>30</v>
      </c>
      <c r="G7" s="30" t="s">
        <v>29</v>
      </c>
      <c r="H7" s="45">
        <v>48968875</v>
      </c>
      <c r="I7" s="46" t="s">
        <v>38</v>
      </c>
      <c r="J7" s="50" t="s">
        <v>39</v>
      </c>
      <c r="K7" s="43"/>
    </row>
    <row r="8" spans="1:11" ht="15.75">
      <c r="A8" s="34" t="s">
        <v>41</v>
      </c>
      <c r="B8" s="35" t="s">
        <v>37</v>
      </c>
      <c r="C8" s="155">
        <v>619666340</v>
      </c>
      <c r="D8" s="35" t="s">
        <v>28</v>
      </c>
      <c r="E8" s="35" t="s">
        <v>29</v>
      </c>
      <c r="F8" s="35" t="s">
        <v>30</v>
      </c>
      <c r="G8" s="35" t="s">
        <v>29</v>
      </c>
      <c r="H8" s="40">
        <v>61557217</v>
      </c>
      <c r="I8" s="41" t="s">
        <v>38</v>
      </c>
      <c r="J8" s="49" t="s">
        <v>39</v>
      </c>
      <c r="K8" s="43"/>
    </row>
    <row r="9" spans="1:11" ht="15.75">
      <c r="A9" s="29" t="s">
        <v>42</v>
      </c>
      <c r="B9" s="30" t="s">
        <v>37</v>
      </c>
      <c r="C9" s="156">
        <v>612652644</v>
      </c>
      <c r="D9" s="30" t="s">
        <v>28</v>
      </c>
      <c r="E9" s="30" t="s">
        <v>29</v>
      </c>
      <c r="F9" s="30" t="s">
        <v>30</v>
      </c>
      <c r="G9" s="30" t="s">
        <v>29</v>
      </c>
      <c r="H9" s="45">
        <v>19111556</v>
      </c>
      <c r="I9" s="46" t="s">
        <v>38</v>
      </c>
      <c r="J9" s="50" t="s">
        <v>39</v>
      </c>
      <c r="K9" s="43"/>
    </row>
    <row r="10" spans="1:11" ht="15.75">
      <c r="A10" s="51" t="s">
        <v>43</v>
      </c>
      <c r="B10" s="52" t="s">
        <v>44</v>
      </c>
      <c r="C10" s="157">
        <v>620024461</v>
      </c>
      <c r="D10" s="52" t="s">
        <v>28</v>
      </c>
      <c r="E10" s="52" t="s">
        <v>29</v>
      </c>
      <c r="F10" s="52" t="s">
        <v>30</v>
      </c>
      <c r="G10" s="52" t="s">
        <v>29</v>
      </c>
      <c r="H10" s="53">
        <v>38395002</v>
      </c>
      <c r="I10" s="54" t="s">
        <v>45</v>
      </c>
      <c r="J10" s="55" t="s">
        <v>39</v>
      </c>
      <c r="K10" s="43"/>
    </row>
    <row r="11" spans="1:11" ht="15.75">
      <c r="A11" s="29" t="s">
        <v>46</v>
      </c>
      <c r="B11" s="30" t="s">
        <v>47</v>
      </c>
      <c r="C11" s="156">
        <v>619634485</v>
      </c>
      <c r="D11" s="30" t="s">
        <v>28</v>
      </c>
      <c r="E11" s="30" t="s">
        <v>29</v>
      </c>
      <c r="F11" s="44" t="s">
        <v>35</v>
      </c>
      <c r="G11" s="30" t="s">
        <v>29</v>
      </c>
      <c r="H11" s="45">
        <v>91359782</v>
      </c>
      <c r="I11" s="46" t="s">
        <v>31</v>
      </c>
      <c r="J11" s="56" t="s">
        <v>32</v>
      </c>
      <c r="K11" s="43"/>
    </row>
    <row r="12" spans="1:11" ht="15.75">
      <c r="A12" s="29" t="s">
        <v>48</v>
      </c>
      <c r="B12" s="30" t="s">
        <v>49</v>
      </c>
      <c r="C12" s="156">
        <v>688257136</v>
      </c>
      <c r="D12" s="30" t="s">
        <v>28</v>
      </c>
      <c r="E12" s="30" t="s">
        <v>29</v>
      </c>
      <c r="F12" s="30" t="s">
        <v>30</v>
      </c>
      <c r="G12" s="30" t="s">
        <v>29</v>
      </c>
      <c r="H12" s="45">
        <v>74170930</v>
      </c>
      <c r="I12" s="46" t="s">
        <v>45</v>
      </c>
      <c r="J12" s="50" t="s">
        <v>39</v>
      </c>
      <c r="K12" s="43"/>
    </row>
    <row r="13" spans="1:11" ht="15.75">
      <c r="A13" s="34" t="s">
        <v>50</v>
      </c>
      <c r="B13" s="35" t="s">
        <v>49</v>
      </c>
      <c r="C13" s="155">
        <v>674926587</v>
      </c>
      <c r="D13" s="35" t="s">
        <v>28</v>
      </c>
      <c r="E13" s="35" t="s">
        <v>29</v>
      </c>
      <c r="F13" s="35" t="s">
        <v>30</v>
      </c>
      <c r="G13" s="35" t="s">
        <v>29</v>
      </c>
      <c r="H13" s="40">
        <v>13424830</v>
      </c>
      <c r="I13" s="41" t="s">
        <v>45</v>
      </c>
      <c r="J13" s="49" t="s">
        <v>39</v>
      </c>
      <c r="K13" s="43"/>
    </row>
    <row r="14" spans="1:11" ht="15.75">
      <c r="A14" s="29" t="s">
        <v>51</v>
      </c>
      <c r="B14" s="30" t="s">
        <v>49</v>
      </c>
      <c r="C14" s="156">
        <v>620551613</v>
      </c>
      <c r="D14" s="30" t="s">
        <v>28</v>
      </c>
      <c r="E14" s="30" t="s">
        <v>29</v>
      </c>
      <c r="F14" s="30" t="s">
        <v>30</v>
      </c>
      <c r="G14" s="30" t="s">
        <v>29</v>
      </c>
      <c r="H14" s="45">
        <v>43545949</v>
      </c>
      <c r="I14" s="46" t="s">
        <v>45</v>
      </c>
      <c r="J14" s="50" t="s">
        <v>39</v>
      </c>
      <c r="K14" s="43"/>
    </row>
    <row r="15" spans="1:11" ht="15.75">
      <c r="A15" s="29" t="s">
        <v>52</v>
      </c>
      <c r="B15" s="57" t="s">
        <v>53</v>
      </c>
      <c r="C15" s="156">
        <v>787960488</v>
      </c>
      <c r="D15" s="30" t="s">
        <v>28</v>
      </c>
      <c r="E15" s="30" t="s">
        <v>29</v>
      </c>
      <c r="F15" s="58" t="s">
        <v>35</v>
      </c>
      <c r="G15" s="30" t="s">
        <v>29</v>
      </c>
      <c r="H15" s="45">
        <v>62099281</v>
      </c>
      <c r="I15" s="46" t="s">
        <v>31</v>
      </c>
      <c r="J15" s="50" t="s">
        <v>54</v>
      </c>
      <c r="K15" s="43"/>
    </row>
    <row r="16" spans="1:11" ht="16.5" thickBot="1">
      <c r="A16" s="59" t="s">
        <v>55</v>
      </c>
      <c r="B16" s="60" t="s">
        <v>53</v>
      </c>
      <c r="C16" s="158">
        <v>635527070</v>
      </c>
      <c r="D16" s="61" t="s">
        <v>28</v>
      </c>
      <c r="E16" s="61" t="s">
        <v>29</v>
      </c>
      <c r="F16" s="62" t="s">
        <v>35</v>
      </c>
      <c r="G16" s="63" t="s">
        <v>29</v>
      </c>
      <c r="H16" s="64">
        <v>44241457</v>
      </c>
      <c r="I16" s="65" t="s">
        <v>31</v>
      </c>
      <c r="J16" s="66" t="s">
        <v>54</v>
      </c>
      <c r="K16" s="67"/>
    </row>
    <row r="17" spans="1:11" ht="15.75">
      <c r="A17" s="284" t="s">
        <v>56</v>
      </c>
      <c r="B17" s="284"/>
      <c r="C17" s="68"/>
      <c r="D17" s="28"/>
      <c r="E17" s="28"/>
      <c r="F17" s="70"/>
      <c r="G17" s="71"/>
      <c r="H17" s="72"/>
      <c r="I17" s="73"/>
      <c r="J17" s="71"/>
      <c r="K17" s="67"/>
    </row>
    <row r="18" spans="1:11" ht="15.75">
      <c r="A18" s="74" t="s">
        <v>57</v>
      </c>
      <c r="B18" s="75" t="s">
        <v>47</v>
      </c>
      <c r="C18" s="81">
        <v>631578315</v>
      </c>
      <c r="D18" s="30" t="s">
        <v>28</v>
      </c>
      <c r="E18" s="30" t="s">
        <v>29</v>
      </c>
      <c r="F18" s="58" t="s">
        <v>35</v>
      </c>
      <c r="G18" s="30" t="s">
        <v>29</v>
      </c>
      <c r="H18" s="45"/>
      <c r="I18" s="46" t="s">
        <v>31</v>
      </c>
      <c r="J18" s="71"/>
      <c r="K18" s="67"/>
    </row>
    <row r="19" spans="1:11" ht="16.5" thickBot="1">
      <c r="A19" s="74" t="s">
        <v>58</v>
      </c>
      <c r="B19" s="76" t="s">
        <v>47</v>
      </c>
      <c r="C19" s="81">
        <v>631579126</v>
      </c>
      <c r="D19" s="61" t="s">
        <v>28</v>
      </c>
      <c r="E19" s="61" t="s">
        <v>29</v>
      </c>
      <c r="F19" s="62" t="s">
        <v>35</v>
      </c>
      <c r="G19" s="63" t="s">
        <v>29</v>
      </c>
      <c r="H19" s="64"/>
      <c r="I19" s="65" t="s">
        <v>31</v>
      </c>
      <c r="J19" s="67"/>
      <c r="K19" s="67"/>
    </row>
    <row r="20" spans="1:11" ht="15.75">
      <c r="A20" s="74" t="s">
        <v>59</v>
      </c>
      <c r="B20" s="75" t="s">
        <v>47</v>
      </c>
      <c r="C20" s="81">
        <v>631577667</v>
      </c>
      <c r="D20" s="30" t="s">
        <v>28</v>
      </c>
      <c r="E20" s="30" t="s">
        <v>29</v>
      </c>
      <c r="F20" s="58" t="s">
        <v>35</v>
      </c>
      <c r="G20" s="30" t="s">
        <v>29</v>
      </c>
      <c r="H20" s="45"/>
      <c r="I20" s="46" t="s">
        <v>31</v>
      </c>
      <c r="J20" s="67"/>
      <c r="K20" s="67"/>
    </row>
    <row r="21" spans="1:11" ht="16.5" thickBot="1">
      <c r="A21" s="74" t="s">
        <v>60</v>
      </c>
      <c r="B21" s="76" t="s">
        <v>47</v>
      </c>
      <c r="C21" s="81">
        <v>631576199</v>
      </c>
      <c r="D21" s="61" t="s">
        <v>28</v>
      </c>
      <c r="E21" s="61" t="s">
        <v>29</v>
      </c>
      <c r="F21" s="62" t="s">
        <v>35</v>
      </c>
      <c r="G21" s="63" t="s">
        <v>29</v>
      </c>
      <c r="H21" s="64"/>
      <c r="I21" s="65" t="s">
        <v>31</v>
      </c>
      <c r="J21" s="67"/>
      <c r="K21" s="67"/>
    </row>
    <row r="22" spans="1:11" ht="15.75">
      <c r="A22" s="74" t="s">
        <v>61</v>
      </c>
      <c r="B22" s="75" t="s">
        <v>47</v>
      </c>
      <c r="C22" s="81">
        <v>631579514</v>
      </c>
      <c r="D22" s="30" t="s">
        <v>28</v>
      </c>
      <c r="E22" s="30" t="s">
        <v>29</v>
      </c>
      <c r="F22" s="58" t="s">
        <v>35</v>
      </c>
      <c r="G22" s="30" t="s">
        <v>29</v>
      </c>
      <c r="H22" s="45"/>
      <c r="I22" s="46" t="s">
        <v>31</v>
      </c>
      <c r="J22" s="67"/>
      <c r="K22" s="67"/>
    </row>
    <row r="23" spans="1:11" ht="16.5" thickBot="1">
      <c r="A23" s="74" t="s">
        <v>62</v>
      </c>
      <c r="B23" s="76" t="s">
        <v>47</v>
      </c>
      <c r="C23" s="81">
        <v>631588174</v>
      </c>
      <c r="D23" s="61" t="s">
        <v>28</v>
      </c>
      <c r="E23" s="61" t="s">
        <v>29</v>
      </c>
      <c r="F23" s="62" t="s">
        <v>35</v>
      </c>
      <c r="G23" s="63" t="s">
        <v>29</v>
      </c>
      <c r="H23" s="64"/>
      <c r="I23" s="65" t="s">
        <v>31</v>
      </c>
      <c r="J23" s="67"/>
      <c r="K23" s="67"/>
    </row>
    <row r="24" spans="1:11" ht="15.75">
      <c r="A24" s="67"/>
      <c r="B24" s="67"/>
      <c r="C24" s="68"/>
      <c r="D24" s="67"/>
      <c r="E24" s="67"/>
      <c r="F24" s="67"/>
      <c r="G24" s="67"/>
      <c r="H24" s="69"/>
      <c r="I24" s="69"/>
      <c r="J24" s="67"/>
      <c r="K24" s="67"/>
    </row>
    <row r="25" spans="1:11" ht="15.75">
      <c r="A25" s="20" t="s">
        <v>63</v>
      </c>
      <c r="B25" s="67"/>
      <c r="C25" s="68"/>
      <c r="D25" s="67"/>
      <c r="E25" s="67"/>
      <c r="F25" s="67"/>
      <c r="G25" s="67"/>
      <c r="H25" s="69"/>
      <c r="I25" s="69"/>
      <c r="J25" s="67"/>
      <c r="K25" s="67"/>
    </row>
    <row r="26" spans="1:11">
      <c r="A26" s="67"/>
      <c r="B26" s="79"/>
      <c r="C26" s="79"/>
      <c r="D26" s="67"/>
      <c r="E26" s="67"/>
      <c r="F26" s="67"/>
      <c r="G26" s="67"/>
      <c r="H26" s="69"/>
      <c r="I26" s="69"/>
      <c r="J26" s="67"/>
      <c r="K26" s="67"/>
    </row>
    <row r="27" spans="1:11" ht="52.5" customHeight="1">
      <c r="A27" s="67"/>
      <c r="B27" s="285" t="s">
        <v>64</v>
      </c>
      <c r="C27" s="285"/>
      <c r="D27" s="285"/>
      <c r="E27" s="67"/>
      <c r="F27" s="67"/>
      <c r="G27" s="67"/>
      <c r="K27" s="67"/>
    </row>
    <row r="28" spans="1:11">
      <c r="A28" s="67"/>
      <c r="B28" s="67"/>
      <c r="C28" s="67"/>
      <c r="D28" s="67"/>
      <c r="E28" s="67"/>
      <c r="F28" s="67"/>
      <c r="G28" s="67"/>
      <c r="K28" s="67"/>
    </row>
    <row r="30" spans="1:11">
      <c r="A30" s="80"/>
      <c r="B30" s="78"/>
      <c r="C30" s="78"/>
      <c r="D30" s="77"/>
      <c r="E30" s="77"/>
    </row>
  </sheetData>
  <mergeCells count="2">
    <mergeCell ref="A17:B17"/>
    <mergeCell ref="B27:D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B533-6542-4AE4-B564-B5C72D6F1D39}">
  <dimension ref="A1:L30"/>
  <sheetViews>
    <sheetView topLeftCell="A5" workbookViewId="0">
      <selection activeCell="B14" sqref="B14"/>
    </sheetView>
  </sheetViews>
  <sheetFormatPr defaultColWidth="11.42578125" defaultRowHeight="15"/>
  <cols>
    <col min="1" max="1" width="38" bestFit="1" customWidth="1"/>
    <col min="2" max="2" width="16.7109375" bestFit="1" customWidth="1"/>
    <col min="9" max="9" width="38.28515625" bestFit="1" customWidth="1"/>
    <col min="10" max="10" width="20" bestFit="1" customWidth="1"/>
    <col min="12" max="12" width="13.140625" customWidth="1"/>
    <col min="14" max="14" width="11.42578125" bestFit="1" customWidth="1"/>
  </cols>
  <sheetData>
    <row r="1" spans="1:12">
      <c r="A1" s="178" t="s">
        <v>65</v>
      </c>
      <c r="B1" t="s">
        <v>66</v>
      </c>
    </row>
    <row r="2" spans="1:12">
      <c r="A2" s="179" t="s">
        <v>67</v>
      </c>
      <c r="B2" t="s">
        <v>66</v>
      </c>
    </row>
    <row r="3" spans="1:12">
      <c r="A3" s="179" t="s">
        <v>68</v>
      </c>
      <c r="B3" s="180">
        <v>618215501</v>
      </c>
    </row>
    <row r="4" spans="1:12">
      <c r="A4" s="181" t="s">
        <v>69</v>
      </c>
      <c r="B4" s="182">
        <v>612938590</v>
      </c>
    </row>
    <row r="5" spans="1:12">
      <c r="A5" s="179" t="s">
        <v>70</v>
      </c>
      <c r="B5" s="183">
        <v>622591384</v>
      </c>
    </row>
    <row r="6" spans="1:12">
      <c r="A6" s="181" t="s">
        <v>71</v>
      </c>
      <c r="B6" s="182">
        <v>643722933</v>
      </c>
    </row>
    <row r="7" spans="1:12">
      <c r="A7" s="179" t="s">
        <v>72</v>
      </c>
      <c r="B7" s="183">
        <v>619666340</v>
      </c>
    </row>
    <row r="8" spans="1:12">
      <c r="A8" s="181" t="s">
        <v>73</v>
      </c>
      <c r="B8" s="182">
        <v>612652644</v>
      </c>
    </row>
    <row r="9" spans="1:12" ht="15.75">
      <c r="A9" s="179" t="s">
        <v>74</v>
      </c>
      <c r="B9" s="184">
        <v>620024461</v>
      </c>
    </row>
    <row r="10" spans="1:12">
      <c r="A10" s="185" t="s">
        <v>75</v>
      </c>
      <c r="B10" s="186">
        <v>631578315</v>
      </c>
      <c r="I10" s="173" t="s">
        <v>65</v>
      </c>
      <c r="J10" t="s">
        <v>66</v>
      </c>
    </row>
    <row r="11" spans="1:12">
      <c r="A11" s="185" t="s">
        <v>76</v>
      </c>
      <c r="B11" s="187">
        <v>631579126</v>
      </c>
      <c r="I11" s="174" t="s">
        <v>67</v>
      </c>
      <c r="J11" t="s">
        <v>66</v>
      </c>
    </row>
    <row r="12" spans="1:12">
      <c r="A12" s="185" t="s">
        <v>77</v>
      </c>
      <c r="B12" s="183">
        <v>674926587</v>
      </c>
      <c r="I12" s="174" t="s">
        <v>68</v>
      </c>
      <c r="J12" s="165">
        <v>618215501</v>
      </c>
      <c r="L12" t="s">
        <v>78</v>
      </c>
    </row>
    <row r="13" spans="1:12">
      <c r="A13" s="181" t="s">
        <v>79</v>
      </c>
      <c r="B13" s="182">
        <v>619634485</v>
      </c>
      <c r="I13" s="175" t="s">
        <v>69</v>
      </c>
      <c r="J13" s="166">
        <v>612938590</v>
      </c>
      <c r="L13" t="s">
        <v>78</v>
      </c>
    </row>
    <row r="14" spans="1:12">
      <c r="A14" s="185" t="s">
        <v>80</v>
      </c>
      <c r="B14" s="182">
        <v>631576199</v>
      </c>
      <c r="I14" s="174" t="s">
        <v>70</v>
      </c>
      <c r="J14" s="167">
        <v>622591384</v>
      </c>
      <c r="L14" t="s">
        <v>78</v>
      </c>
    </row>
    <row r="15" spans="1:12">
      <c r="A15" s="185" t="s">
        <v>81</v>
      </c>
      <c r="B15" s="182">
        <v>631579514</v>
      </c>
      <c r="I15" s="175" t="s">
        <v>71</v>
      </c>
      <c r="J15" s="166" t="s">
        <v>82</v>
      </c>
      <c r="L15" t="s">
        <v>78</v>
      </c>
    </row>
    <row r="16" spans="1:12">
      <c r="A16" s="185" t="s">
        <v>83</v>
      </c>
      <c r="B16" s="188">
        <v>631588174</v>
      </c>
      <c r="I16" s="174" t="s">
        <v>72</v>
      </c>
      <c r="J16" s="167" t="s">
        <v>84</v>
      </c>
      <c r="L16" t="s">
        <v>78</v>
      </c>
    </row>
    <row r="17" spans="1:12">
      <c r="A17" s="181" t="s">
        <v>85</v>
      </c>
      <c r="B17" s="188">
        <v>688257136</v>
      </c>
      <c r="I17" s="175" t="s">
        <v>73</v>
      </c>
      <c r="J17" s="166" t="s">
        <v>86</v>
      </c>
      <c r="L17" t="s">
        <v>78</v>
      </c>
    </row>
    <row r="18" spans="1:12" ht="15.75">
      <c r="A18" s="179" t="s">
        <v>87</v>
      </c>
      <c r="B18" s="188">
        <v>674926587</v>
      </c>
      <c r="I18" s="174" t="s">
        <v>74</v>
      </c>
      <c r="J18" s="168" t="s">
        <v>88</v>
      </c>
      <c r="L18" t="s">
        <v>78</v>
      </c>
    </row>
    <row r="19" spans="1:12">
      <c r="A19" s="181" t="s">
        <v>89</v>
      </c>
      <c r="B19" s="188">
        <v>620551613</v>
      </c>
      <c r="I19" s="176" t="s">
        <v>75</v>
      </c>
      <c r="J19" s="169">
        <v>631578315</v>
      </c>
      <c r="L19" t="s">
        <v>78</v>
      </c>
    </row>
    <row r="20" spans="1:12">
      <c r="A20" s="181" t="s">
        <v>90</v>
      </c>
      <c r="B20" s="188">
        <v>787960488</v>
      </c>
      <c r="I20" s="176" t="s">
        <v>76</v>
      </c>
      <c r="J20" s="170">
        <v>631579126</v>
      </c>
      <c r="L20" t="s">
        <v>78</v>
      </c>
    </row>
    <row r="21" spans="1:12">
      <c r="A21" s="189" t="s">
        <v>91</v>
      </c>
      <c r="B21" s="190">
        <v>635527070</v>
      </c>
      <c r="I21" s="176" t="s">
        <v>77</v>
      </c>
      <c r="J21" s="167" t="s">
        <v>92</v>
      </c>
      <c r="L21" s="191">
        <v>631577667</v>
      </c>
    </row>
    <row r="22" spans="1:12">
      <c r="I22" s="175" t="s">
        <v>79</v>
      </c>
      <c r="J22" s="166">
        <v>619634485</v>
      </c>
      <c r="L22" t="s">
        <v>78</v>
      </c>
    </row>
    <row r="23" spans="1:12">
      <c r="I23" s="176" t="s">
        <v>93</v>
      </c>
      <c r="J23" s="166">
        <v>631576199</v>
      </c>
      <c r="L23" t="s">
        <v>78</v>
      </c>
    </row>
    <row r="24" spans="1:12">
      <c r="I24" s="176" t="s">
        <v>81</v>
      </c>
      <c r="J24" s="166">
        <v>631579514</v>
      </c>
      <c r="L24" t="s">
        <v>78</v>
      </c>
    </row>
    <row r="25" spans="1:12">
      <c r="I25" s="176" t="s">
        <v>83</v>
      </c>
      <c r="J25" s="171">
        <v>631588174</v>
      </c>
      <c r="L25" t="s">
        <v>78</v>
      </c>
    </row>
    <row r="26" spans="1:12">
      <c r="I26" s="175" t="s">
        <v>85</v>
      </c>
      <c r="J26" s="171">
        <v>688257136</v>
      </c>
      <c r="L26" t="s">
        <v>78</v>
      </c>
    </row>
    <row r="27" spans="1:12">
      <c r="I27" s="174" t="s">
        <v>87</v>
      </c>
      <c r="J27" s="171">
        <v>674926587</v>
      </c>
      <c r="L27" t="s">
        <v>78</v>
      </c>
    </row>
    <row r="28" spans="1:12">
      <c r="I28" s="175" t="s">
        <v>89</v>
      </c>
      <c r="J28" s="171">
        <v>620551613</v>
      </c>
      <c r="L28" t="s">
        <v>78</v>
      </c>
    </row>
    <row r="29" spans="1:12">
      <c r="I29" s="175" t="s">
        <v>90</v>
      </c>
      <c r="J29" s="171">
        <v>787960488</v>
      </c>
      <c r="L29" t="s">
        <v>78</v>
      </c>
    </row>
    <row r="30" spans="1:12">
      <c r="I30" s="177" t="s">
        <v>91</v>
      </c>
      <c r="J30" s="172">
        <v>635527070</v>
      </c>
      <c r="L30" t="s">
        <v>78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6433-8788-4196-A79D-9790F236E9A5}">
  <dimension ref="A1:H24"/>
  <sheetViews>
    <sheetView zoomScaleNormal="100" workbookViewId="0">
      <selection activeCell="E15" sqref="E15"/>
    </sheetView>
  </sheetViews>
  <sheetFormatPr defaultColWidth="11.42578125" defaultRowHeight="15"/>
  <cols>
    <col min="1" max="1" width="36" bestFit="1" customWidth="1"/>
    <col min="2" max="2" width="42.5703125" bestFit="1" customWidth="1"/>
    <col min="4" max="4" width="14.85546875" customWidth="1"/>
    <col min="5" max="5" width="24.7109375" customWidth="1"/>
  </cols>
  <sheetData>
    <row r="1" spans="1:8" ht="30.75" thickBot="1">
      <c r="A1" s="6" t="s">
        <v>94</v>
      </c>
      <c r="B1" s="12" t="s">
        <v>95</v>
      </c>
      <c r="C1" s="2" t="s">
        <v>96</v>
      </c>
      <c r="D1" s="2" t="s">
        <v>97</v>
      </c>
      <c r="E1" s="6" t="s">
        <v>98</v>
      </c>
    </row>
    <row r="2" spans="1:8" ht="19.5" thickBot="1">
      <c r="A2" s="16" t="str">
        <f t="shared" ref="A2:A22" si="0">IF(D2&gt;0,B2," ")</f>
        <v>BEW170 - HUAWEI Mobile 4G</v>
      </c>
      <c r="B2" s="14" t="s">
        <v>65</v>
      </c>
      <c r="C2" s="5">
        <v>1</v>
      </c>
      <c r="D2" s="5">
        <f>C2-(COUNTIF(Janvier!$N$5:$N$75,'Base Janvier'!E2))</f>
        <v>1</v>
      </c>
      <c r="E2" s="17" t="s">
        <v>99</v>
      </c>
    </row>
    <row r="3" spans="1:8" ht="19.5" thickBot="1">
      <c r="A3" s="16" t="str">
        <f t="shared" si="0"/>
        <v>BEW172 - HUAWEI Mobile 4G</v>
      </c>
      <c r="B3" s="15" t="s">
        <v>67</v>
      </c>
      <c r="C3" s="5">
        <v>1</v>
      </c>
      <c r="D3" s="5">
        <f>C3-(COUNTIF(Janvier!$N$5:$N$75,'Base Janvier'!E3))</f>
        <v>1</v>
      </c>
      <c r="E3" s="18" t="s">
        <v>100</v>
      </c>
      <c r="H3" s="1"/>
    </row>
    <row r="4" spans="1:8" ht="19.5" thickBot="1">
      <c r="A4" s="16" t="str">
        <f t="shared" si="0"/>
        <v>TLP1462 - iPhone 5S</v>
      </c>
      <c r="B4" s="15" t="s">
        <v>68</v>
      </c>
      <c r="C4" s="5">
        <v>1</v>
      </c>
      <c r="D4" s="5">
        <f>C4-(COUNTIF(Janvier!$N$5:$N$75,'Base Janvier'!E4))</f>
        <v>1</v>
      </c>
      <c r="E4" s="18" t="s">
        <v>101</v>
      </c>
    </row>
    <row r="5" spans="1:8" ht="19.5" thickBot="1">
      <c r="A5" s="16" t="str">
        <f t="shared" si="0"/>
        <v xml:space="preserve"> </v>
      </c>
      <c r="B5" s="14" t="s">
        <v>69</v>
      </c>
      <c r="C5" s="5">
        <v>1</v>
      </c>
      <c r="D5" s="5">
        <f>C5-(COUNTIF(Janvier!$N$5:$N$75,'Base Janvier'!E5))</f>
        <v>0</v>
      </c>
      <c r="E5" s="17" t="s">
        <v>102</v>
      </c>
    </row>
    <row r="6" spans="1:8" ht="19.5" thickBot="1">
      <c r="A6" s="16" t="str">
        <f t="shared" si="0"/>
        <v>TLP1733 - Crosscall  Spider X-1</v>
      </c>
      <c r="B6" s="15" t="s">
        <v>70</v>
      </c>
      <c r="C6" s="5">
        <v>1</v>
      </c>
      <c r="D6" s="5">
        <f>C6-(COUNTIF(Janvier!$N$5:$N$75,'Base Janvier'!E6))</f>
        <v>1</v>
      </c>
      <c r="E6" s="18" t="s">
        <v>103</v>
      </c>
    </row>
    <row r="7" spans="1:8" ht="19.5" thickBot="1">
      <c r="A7" s="16" t="str">
        <f t="shared" si="0"/>
        <v>TLP1734 - Crosscall  Spider X-1</v>
      </c>
      <c r="B7" s="14" t="s">
        <v>71</v>
      </c>
      <c r="C7" s="5">
        <v>1</v>
      </c>
      <c r="D7" s="5">
        <f>C7-(COUNTIF(Janvier!$N$5:$N$75,'Base Janvier'!E7))</f>
        <v>1</v>
      </c>
      <c r="E7" s="17" t="s">
        <v>104</v>
      </c>
    </row>
    <row r="8" spans="1:8" ht="19.5" thickBot="1">
      <c r="A8" s="16" t="str">
        <f t="shared" si="0"/>
        <v>TLP1735 - Crosscall  Spider X-1</v>
      </c>
      <c r="B8" s="15" t="s">
        <v>72</v>
      </c>
      <c r="C8" s="5">
        <v>1</v>
      </c>
      <c r="D8" s="5">
        <f>C8-(COUNTIF(Janvier!$N$5:$N$75,'Base Janvier'!E8))</f>
        <v>1</v>
      </c>
      <c r="E8" s="18" t="s">
        <v>105</v>
      </c>
    </row>
    <row r="9" spans="1:8" ht="19.5" thickBot="1">
      <c r="A9" s="16" t="str">
        <f t="shared" si="0"/>
        <v>TLP1736 - Crosscall  Spider X-1</v>
      </c>
      <c r="B9" s="14" t="s">
        <v>73</v>
      </c>
      <c r="C9" s="5">
        <v>1</v>
      </c>
      <c r="D9" s="5">
        <f>C9-(COUNTIF(Janvier!$N$5:$N$75,'Base Janvier'!E9))</f>
        <v>1</v>
      </c>
      <c r="E9" s="17" t="s">
        <v>106</v>
      </c>
    </row>
    <row r="10" spans="1:8" ht="19.5" thickBot="1">
      <c r="A10" s="16" t="str">
        <f t="shared" si="0"/>
        <v xml:space="preserve"> </v>
      </c>
      <c r="B10" s="15" t="s">
        <v>74</v>
      </c>
      <c r="C10" s="5">
        <v>1</v>
      </c>
      <c r="D10" s="5">
        <f>C10-(COUNTIF(Janvier!$N$5:$N$75,'Base Janvier'!E10))</f>
        <v>0</v>
      </c>
      <c r="E10" s="18" t="s">
        <v>107</v>
      </c>
    </row>
    <row r="11" spans="1:8" ht="19.5" thickBot="1">
      <c r="A11" s="16" t="str">
        <f t="shared" si="0"/>
        <v xml:space="preserve"> </v>
      </c>
      <c r="B11" s="13" t="s">
        <v>75</v>
      </c>
      <c r="C11" s="5">
        <v>1</v>
      </c>
      <c r="D11" s="5">
        <f>C11-(COUNTIF(Janvier!$N$5:$N$75,'Base Janvier'!E11))</f>
        <v>0</v>
      </c>
      <c r="E11" s="19" t="s">
        <v>108</v>
      </c>
    </row>
    <row r="12" spans="1:8" ht="19.5" thickBot="1">
      <c r="A12" s="16" t="str">
        <f t="shared" si="0"/>
        <v>TLP1866 - Mission Sensible</v>
      </c>
      <c r="B12" s="13" t="s">
        <v>76</v>
      </c>
      <c r="C12" s="5">
        <v>1</v>
      </c>
      <c r="D12" s="5">
        <f>C12-(COUNTIF(Janvier!$N$5:$N$75,'Base Janvier'!E12))</f>
        <v>1</v>
      </c>
      <c r="E12" s="19" t="s">
        <v>109</v>
      </c>
    </row>
    <row r="13" spans="1:8" ht="19.5" thickBot="1">
      <c r="A13" s="16" t="str">
        <f t="shared" si="0"/>
        <v>TLP1872 - Mission Sensible</v>
      </c>
      <c r="B13" s="13" t="s">
        <v>77</v>
      </c>
      <c r="C13" s="5">
        <v>1</v>
      </c>
      <c r="D13" s="5">
        <f>C13-(COUNTIF(Janvier!$N$5:$N$75,'Base Janvier'!E13))</f>
        <v>1</v>
      </c>
      <c r="E13" s="19" t="s">
        <v>110</v>
      </c>
    </row>
    <row r="14" spans="1:8" ht="19.5" thickBot="1">
      <c r="A14" s="16" t="str">
        <f t="shared" si="0"/>
        <v>TLP1878 - iPhone 7 - 10GB Data</v>
      </c>
      <c r="B14" s="14" t="s">
        <v>79</v>
      </c>
      <c r="C14" s="5">
        <v>1</v>
      </c>
      <c r="D14" s="5">
        <f>C14-(COUNTIF(Janvier!$N$5:$N$75,'Base Janvier'!E14))</f>
        <v>1</v>
      </c>
      <c r="E14" s="17" t="s">
        <v>111</v>
      </c>
    </row>
    <row r="15" spans="1:8" ht="19.5" thickBot="1">
      <c r="A15" s="16" t="str">
        <f t="shared" si="0"/>
        <v xml:space="preserve"> </v>
      </c>
      <c r="B15" s="13" t="s">
        <v>80</v>
      </c>
      <c r="C15" s="5">
        <v>1</v>
      </c>
      <c r="D15" s="5">
        <f>C15-(COUNTIF(Janvier!$N$5:$N$75,'Base Janvier'!E15))</f>
        <v>0</v>
      </c>
      <c r="E15" s="19" t="s">
        <v>112</v>
      </c>
    </row>
    <row r="16" spans="1:8" ht="19.5" thickBot="1">
      <c r="A16" s="16" t="str">
        <f t="shared" si="0"/>
        <v>TLP1903 - Mission Sensible</v>
      </c>
      <c r="B16" s="13" t="s">
        <v>81</v>
      </c>
      <c r="C16" s="5">
        <v>1</v>
      </c>
      <c r="D16" s="5">
        <f>C16-(COUNTIF(Janvier!$N$5:$N$75,'Base Janvier'!E16))</f>
        <v>1</v>
      </c>
      <c r="E16" s="19" t="s">
        <v>113</v>
      </c>
    </row>
    <row r="17" spans="1:5" ht="19.5" thickBot="1">
      <c r="A17" s="16" t="str">
        <f t="shared" si="0"/>
        <v>TLP1904 - Mission Sensible</v>
      </c>
      <c r="B17" s="13" t="s">
        <v>83</v>
      </c>
      <c r="C17" s="5">
        <v>1</v>
      </c>
      <c r="D17" s="5">
        <f>C17-(COUNTIF(Janvier!$N$5:$N$75,'Base Janvier'!E17))</f>
        <v>1</v>
      </c>
      <c r="E17" s="19" t="s">
        <v>114</v>
      </c>
    </row>
    <row r="18" spans="1:5" ht="19.5" thickBot="1">
      <c r="A18" s="16" t="str">
        <f t="shared" si="0"/>
        <v>TLP2181 - Crosscall  Spider X-5</v>
      </c>
      <c r="B18" s="14" t="s">
        <v>85</v>
      </c>
      <c r="C18" s="5">
        <v>1</v>
      </c>
      <c r="D18" s="5">
        <f>C18-(COUNTIF(Janvier!$N$5:$N$75,'Base Janvier'!E18))</f>
        <v>1</v>
      </c>
      <c r="E18" s="17" t="s">
        <v>115</v>
      </c>
    </row>
    <row r="19" spans="1:5" ht="19.5" thickBot="1">
      <c r="A19" s="16" t="str">
        <f t="shared" si="0"/>
        <v>TLP2183 - Crosscall  Spider X-5</v>
      </c>
      <c r="B19" s="15" t="s">
        <v>87</v>
      </c>
      <c r="C19" s="5">
        <v>1</v>
      </c>
      <c r="D19" s="5">
        <f>C19-(COUNTIF(Janvier!$N$5:$N$75,'Base Janvier'!E19))</f>
        <v>1</v>
      </c>
      <c r="E19" s="18" t="s">
        <v>116</v>
      </c>
    </row>
    <row r="20" spans="1:5" ht="19.5" thickBot="1">
      <c r="A20" s="16" t="str">
        <f t="shared" si="0"/>
        <v>TLP2184 - Crosscall  Spider X-5</v>
      </c>
      <c r="B20" s="14" t="s">
        <v>89</v>
      </c>
      <c r="C20" s="5">
        <v>1</v>
      </c>
      <c r="D20" s="5">
        <f>C20-(COUNTIF(Janvier!$N$5:$N$75,'Base Janvier'!E20))</f>
        <v>1</v>
      </c>
      <c r="E20" s="17" t="s">
        <v>117</v>
      </c>
    </row>
    <row r="21" spans="1:5" ht="19.5" thickBot="1">
      <c r="A21" s="16" t="str">
        <f t="shared" si="0"/>
        <v>TLP2196 - CROSSCALL CORE M5</v>
      </c>
      <c r="B21" s="14" t="s">
        <v>90</v>
      </c>
      <c r="C21" s="5">
        <v>1</v>
      </c>
      <c r="D21" s="5">
        <f>C21-(COUNTIF(Janvier!$N$5:$N$75,'Base Janvier'!E21))</f>
        <v>1</v>
      </c>
      <c r="E21" s="17" t="s">
        <v>118</v>
      </c>
    </row>
    <row r="22" spans="1:5" ht="19.5" thickBot="1">
      <c r="A22" s="16" t="str">
        <f t="shared" si="0"/>
        <v xml:space="preserve"> </v>
      </c>
      <c r="B22" s="14" t="s">
        <v>91</v>
      </c>
      <c r="C22" s="5">
        <v>1</v>
      </c>
      <c r="D22" s="5">
        <f>C22-(COUNTIF(Janvier!$N$5:$N$75,'Base Janvier'!E22))</f>
        <v>0</v>
      </c>
      <c r="E22" s="17" t="s">
        <v>119</v>
      </c>
    </row>
    <row r="23" spans="1:5" ht="19.5" thickBot="1">
      <c r="E23" s="7" t="s">
        <v>120</v>
      </c>
    </row>
    <row r="24" spans="1:5" ht="19.5" thickBot="1">
      <c r="E24" s="7" t="s">
        <v>121</v>
      </c>
    </row>
  </sheetData>
  <autoFilter ref="A1:E15" xr:uid="{03156433-8788-4196-A79D-9790F236E9A5}">
    <sortState xmlns:xlrd2="http://schemas.microsoft.com/office/spreadsheetml/2017/richdata2" ref="A2:E24">
      <sortCondition ref="B1:B15"/>
    </sortState>
  </autoFilter>
  <sortState xmlns:xlrd2="http://schemas.microsoft.com/office/spreadsheetml/2017/richdata2" ref="B2:B19">
    <sortCondition ref="B2:B1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EF7BF-81CE-4240-8EF1-189926DC6A56}">
  <dimension ref="B1:N20"/>
  <sheetViews>
    <sheetView showGridLines="0" tabSelected="1" zoomScale="70" zoomScaleNormal="70" workbookViewId="0">
      <selection activeCell="N11" sqref="B11:N11"/>
    </sheetView>
  </sheetViews>
  <sheetFormatPr defaultColWidth="11.42578125" defaultRowHeight="15"/>
  <cols>
    <col min="2" max="2" width="35.42578125" style="84" bestFit="1" customWidth="1"/>
    <col min="3" max="3" width="17.5703125" style="84" bestFit="1" customWidth="1"/>
    <col min="4" max="4" width="25.7109375" style="84" bestFit="1" customWidth="1"/>
    <col min="5" max="5" width="16.5703125" style="84" bestFit="1" customWidth="1"/>
    <col min="6" max="6" width="19.7109375" style="84" bestFit="1" customWidth="1"/>
    <col min="7" max="7" width="25.7109375" style="84" customWidth="1"/>
    <col min="8" max="8" width="17.28515625" style="84" bestFit="1" customWidth="1"/>
    <col min="9" max="9" width="33.5703125" style="84" bestFit="1" customWidth="1"/>
    <col min="10" max="10" width="25.7109375" style="84" bestFit="1" customWidth="1"/>
    <col min="11" max="11" width="18.42578125" style="84" customWidth="1"/>
    <col min="12" max="12" width="23" style="84" bestFit="1" customWidth="1"/>
    <col min="13" max="13" width="20.85546875" style="84" bestFit="1" customWidth="1"/>
    <col min="14" max="14" width="21.5703125" style="84" bestFit="1" customWidth="1"/>
  </cols>
  <sheetData>
    <row r="1" spans="2:14">
      <c r="C1"/>
    </row>
    <row r="2" spans="2:14" ht="31.5" customHeight="1">
      <c r="C2" s="4"/>
      <c r="D2" s="101"/>
      <c r="E2" s="101"/>
      <c r="F2" s="101"/>
      <c r="G2" s="101"/>
      <c r="H2" s="101"/>
    </row>
    <row r="3" spans="2:14" ht="29.25" thickBot="1">
      <c r="B3" s="286" t="s">
        <v>1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</row>
    <row r="4" spans="2:14" ht="45" customHeight="1" thickBot="1">
      <c r="B4" s="105" t="s">
        <v>122</v>
      </c>
      <c r="C4" s="12" t="s">
        <v>123</v>
      </c>
      <c r="D4" s="105" t="s">
        <v>124</v>
      </c>
      <c r="E4" s="105" t="s">
        <v>125</v>
      </c>
      <c r="F4" s="105" t="s">
        <v>126</v>
      </c>
      <c r="G4" s="105" t="s">
        <v>127</v>
      </c>
      <c r="H4" s="105" t="s">
        <v>128</v>
      </c>
      <c r="I4" s="105" t="s">
        <v>129</v>
      </c>
      <c r="J4" s="105" t="s">
        <v>130</v>
      </c>
      <c r="K4" s="105" t="s">
        <v>131</v>
      </c>
      <c r="L4" s="105" t="s">
        <v>132</v>
      </c>
      <c r="M4" s="105" t="s">
        <v>133</v>
      </c>
      <c r="N4" s="105" t="s">
        <v>134</v>
      </c>
    </row>
    <row r="5" spans="2:14" ht="45" customHeight="1">
      <c r="B5" s="231" t="s">
        <v>69</v>
      </c>
      <c r="C5" s="232">
        <f>IFERROR(VLOOKUP(B5, Base_numéro!A:B, 2, FALSE), "")</f>
        <v>612938590</v>
      </c>
      <c r="D5" s="164" t="s">
        <v>135</v>
      </c>
      <c r="E5" s="164" t="s">
        <v>136</v>
      </c>
      <c r="F5" s="233">
        <v>45009</v>
      </c>
      <c r="G5" s="233" t="s">
        <v>137</v>
      </c>
      <c r="H5" s="233"/>
      <c r="I5" s="233"/>
      <c r="J5" s="234" t="s">
        <v>138</v>
      </c>
      <c r="K5" s="164" t="s">
        <v>139</v>
      </c>
      <c r="L5" s="235"/>
      <c r="M5" s="235"/>
      <c r="N5" s="236" t="s">
        <v>102</v>
      </c>
    </row>
    <row r="6" spans="2:14" ht="45" customHeight="1">
      <c r="B6" s="106" t="s">
        <v>74</v>
      </c>
      <c r="C6" s="107">
        <f>IFERROR(VLOOKUP(B6, Base_numéro!A:B, 2, FALSE), "")</f>
        <v>620024461</v>
      </c>
      <c r="D6" s="237" t="s">
        <v>140</v>
      </c>
      <c r="E6" s="120" t="s">
        <v>141</v>
      </c>
      <c r="F6" s="112">
        <v>44159</v>
      </c>
      <c r="G6" s="112">
        <v>44220</v>
      </c>
      <c r="H6" s="112" t="s">
        <v>142</v>
      </c>
      <c r="I6" s="120"/>
      <c r="J6" s="120" t="s">
        <v>143</v>
      </c>
      <c r="K6" s="120" t="s">
        <v>144</v>
      </c>
      <c r="L6" s="124"/>
      <c r="M6" s="124"/>
      <c r="N6" s="160" t="s">
        <v>107</v>
      </c>
    </row>
    <row r="7" spans="2:14" ht="45" customHeight="1">
      <c r="B7" s="254" t="s">
        <v>81</v>
      </c>
      <c r="C7" s="255">
        <f>IFERROR(VLOOKUP(B7, Base_numéro!A:B, 2, FALSE), "")</f>
        <v>631579514</v>
      </c>
      <c r="D7" s="279" t="s">
        <v>145</v>
      </c>
      <c r="E7" s="279" t="s">
        <v>146</v>
      </c>
      <c r="F7" s="280">
        <v>46031</v>
      </c>
      <c r="G7" s="280">
        <v>46038</v>
      </c>
      <c r="H7" s="280">
        <v>46044</v>
      </c>
      <c r="I7" s="258"/>
      <c r="J7" s="258" t="s">
        <v>147</v>
      </c>
      <c r="K7" s="279" t="s">
        <v>148</v>
      </c>
      <c r="L7" s="279"/>
      <c r="M7" s="281"/>
      <c r="N7" s="282" t="s">
        <v>121</v>
      </c>
    </row>
    <row r="8" spans="2:14" ht="45" customHeight="1">
      <c r="B8" s="106" t="s">
        <v>91</v>
      </c>
      <c r="C8" s="107">
        <f>IFERROR(VLOOKUP(B8, Base_numéro!A:B, 2, FALSE), "")</f>
        <v>635527070</v>
      </c>
      <c r="D8" s="120" t="s">
        <v>149</v>
      </c>
      <c r="E8" s="120" t="s">
        <v>150</v>
      </c>
      <c r="F8" s="112">
        <v>46042</v>
      </c>
      <c r="G8" s="113">
        <v>46069</v>
      </c>
      <c r="H8" s="108"/>
      <c r="I8" s="120"/>
      <c r="J8" s="263" t="s">
        <v>151</v>
      </c>
      <c r="K8" s="120"/>
      <c r="L8" s="124"/>
      <c r="M8" s="125"/>
      <c r="N8" s="132" t="s">
        <v>119</v>
      </c>
    </row>
    <row r="9" spans="2:14" ht="45" customHeight="1">
      <c r="B9" s="254" t="s">
        <v>83</v>
      </c>
      <c r="C9" s="255">
        <f>IFERROR(VLOOKUP(B9, Base_numéro!A:B, 2, FALSE), "")</f>
        <v>631588174</v>
      </c>
      <c r="D9" s="256" t="s">
        <v>152</v>
      </c>
      <c r="E9" s="256" t="s">
        <v>153</v>
      </c>
      <c r="F9" s="257">
        <v>45979</v>
      </c>
      <c r="G9" s="257">
        <v>46042</v>
      </c>
      <c r="H9" s="256"/>
      <c r="I9" s="258" t="s">
        <v>154</v>
      </c>
      <c r="J9" s="259" t="s">
        <v>155</v>
      </c>
      <c r="K9" s="256"/>
      <c r="L9" s="260"/>
      <c r="M9" s="261"/>
      <c r="N9" s="262" t="s">
        <v>121</v>
      </c>
    </row>
    <row r="10" spans="2:14" ht="45" customHeight="1">
      <c r="B10" s="238" t="s">
        <v>80</v>
      </c>
      <c r="C10" s="239">
        <f>IFERROR(VLOOKUP(B10, Base_numéro!A:B, 2, FALSE), "")</f>
        <v>631576199</v>
      </c>
      <c r="D10" s="251" t="s">
        <v>156</v>
      </c>
      <c r="E10" s="264" t="s">
        <v>157</v>
      </c>
      <c r="F10" s="252">
        <v>46044</v>
      </c>
      <c r="G10" s="265">
        <v>46062</v>
      </c>
      <c r="H10" s="253"/>
      <c r="I10" s="251"/>
      <c r="J10" s="251" t="s">
        <v>158</v>
      </c>
      <c r="K10" s="251"/>
      <c r="L10" s="264"/>
      <c r="M10" s="266"/>
      <c r="N10" s="267" t="s">
        <v>112</v>
      </c>
    </row>
    <row r="11" spans="2:14" ht="45" customHeight="1">
      <c r="B11" s="288" t="s">
        <v>75</v>
      </c>
      <c r="C11" s="289">
        <f>IFERROR(VLOOKUP(B11, Base_numéro!A:B, 2, FALSE), "")</f>
        <v>631578315</v>
      </c>
      <c r="D11" s="290" t="s">
        <v>159</v>
      </c>
      <c r="E11" s="290" t="s">
        <v>160</v>
      </c>
      <c r="F11" s="291">
        <v>46044</v>
      </c>
      <c r="G11" s="291">
        <v>46056</v>
      </c>
      <c r="H11" s="292"/>
      <c r="I11" s="290"/>
      <c r="J11" s="293" t="s">
        <v>161</v>
      </c>
      <c r="K11" s="290"/>
      <c r="L11" s="290"/>
      <c r="M11" s="294"/>
      <c r="N11" s="295" t="s">
        <v>108</v>
      </c>
    </row>
    <row r="12" spans="2:14" ht="45" customHeight="1">
      <c r="B12" s="268" t="s">
        <v>79</v>
      </c>
      <c r="C12" s="269">
        <f>IFERROR(VLOOKUP(B12, Base_numéro!A:B, 2, FALSE), "")</f>
        <v>619634485</v>
      </c>
      <c r="D12" s="251" t="s">
        <v>162</v>
      </c>
      <c r="E12" s="251" t="s">
        <v>163</v>
      </c>
      <c r="F12" s="270">
        <v>46052</v>
      </c>
      <c r="G12" s="270">
        <v>46062</v>
      </c>
      <c r="H12" s="271"/>
      <c r="I12" s="251"/>
      <c r="J12" s="251" t="s">
        <v>164</v>
      </c>
      <c r="K12" s="251" t="s">
        <v>165</v>
      </c>
      <c r="L12" s="251"/>
      <c r="M12" s="244"/>
      <c r="N12" s="283" t="s">
        <v>120</v>
      </c>
    </row>
    <row r="13" spans="2:14" ht="45" customHeight="1">
      <c r="B13" s="103"/>
      <c r="C13" s="83" t="str">
        <f>IFERROR(VLOOKUP(B13, Base_numéro!A:B, 2, FALSE), "")</f>
        <v/>
      </c>
      <c r="D13" s="122"/>
      <c r="E13" s="122"/>
      <c r="F13" s="88"/>
      <c r="G13" s="88"/>
      <c r="H13" s="91"/>
      <c r="I13" s="122"/>
      <c r="J13" s="122"/>
      <c r="K13" s="122"/>
      <c r="L13" s="122"/>
      <c r="M13" s="129"/>
      <c r="N13" s="100"/>
    </row>
    <row r="14" spans="2:14" ht="45" customHeight="1">
      <c r="B14" s="103"/>
      <c r="C14" s="83" t="str">
        <f>IFERROR(VLOOKUP(B14, Base_numéro!A:B, 2, FALSE), "")</f>
        <v/>
      </c>
      <c r="D14" s="122"/>
      <c r="E14" s="122"/>
      <c r="F14" s="88"/>
      <c r="G14" s="88"/>
      <c r="H14" s="91"/>
      <c r="I14" s="122"/>
      <c r="J14" s="122"/>
      <c r="K14" s="122"/>
      <c r="L14" s="122"/>
      <c r="M14" s="129"/>
      <c r="N14" s="100"/>
    </row>
    <row r="15" spans="2:14" ht="45" customHeight="1">
      <c r="B15" s="103"/>
      <c r="C15" s="83" t="str">
        <f>IFERROR(VLOOKUP(B15, Base_numéro!A:B, 2, FALSE), "")</f>
        <v/>
      </c>
      <c r="D15" s="122"/>
      <c r="E15" s="122"/>
      <c r="F15" s="88"/>
      <c r="G15" s="88"/>
      <c r="H15" s="91"/>
      <c r="I15" s="122"/>
      <c r="J15" s="122"/>
      <c r="K15" s="122"/>
      <c r="L15" s="122"/>
      <c r="M15" s="129"/>
      <c r="N15" s="100"/>
    </row>
    <row r="16" spans="2:14" ht="45" customHeight="1">
      <c r="B16" s="103"/>
      <c r="C16" s="83" t="str">
        <f>IFERROR(VLOOKUP(B16, Base_numéro!A:B, 2, FALSE), "")</f>
        <v/>
      </c>
      <c r="D16" s="122"/>
      <c r="E16" s="122"/>
      <c r="F16" s="88"/>
      <c r="G16" s="88"/>
      <c r="H16" s="91"/>
      <c r="I16" s="122"/>
      <c r="J16" s="122"/>
      <c r="K16" s="122"/>
      <c r="L16" s="122"/>
      <c r="M16" s="129"/>
      <c r="N16" s="100"/>
    </row>
    <row r="17" spans="2:14" ht="45" customHeight="1">
      <c r="B17" s="103"/>
      <c r="C17" s="83" t="str">
        <f>IFERROR(VLOOKUP(B17, Base_numéro!A:B, 2, FALSE), "")</f>
        <v/>
      </c>
      <c r="D17" s="122"/>
      <c r="E17" s="122"/>
      <c r="F17" s="88"/>
      <c r="G17" s="88"/>
      <c r="H17" s="91"/>
      <c r="I17" s="122"/>
      <c r="J17" s="122"/>
      <c r="K17" s="122"/>
      <c r="L17" s="122"/>
      <c r="M17" s="129"/>
      <c r="N17" s="100"/>
    </row>
    <row r="18" spans="2:14" ht="45" customHeight="1">
      <c r="B18" s="103"/>
      <c r="C18" s="83" t="str">
        <f>IFERROR(VLOOKUP(B18, Base_numéro!A:B, 2, FALSE), "")</f>
        <v/>
      </c>
      <c r="D18" s="122"/>
      <c r="E18" s="122"/>
      <c r="F18" s="88"/>
      <c r="G18" s="88"/>
      <c r="H18" s="91"/>
      <c r="I18" s="122"/>
      <c r="J18" s="122"/>
      <c r="K18" s="122"/>
      <c r="L18" s="122"/>
      <c r="M18" s="129"/>
      <c r="N18" s="100"/>
    </row>
    <row r="19" spans="2:14" ht="45" customHeight="1">
      <c r="B19" s="103"/>
      <c r="C19" s="83" t="str">
        <f>IFERROR(VLOOKUP(B19, Base_numéro!A:B, 2, FALSE), "")</f>
        <v/>
      </c>
      <c r="D19" s="122"/>
      <c r="E19" s="122"/>
      <c r="F19" s="88"/>
      <c r="G19" s="88"/>
      <c r="H19" s="91"/>
      <c r="I19" s="122"/>
      <c r="J19" s="122"/>
      <c r="K19" s="122"/>
      <c r="L19" s="122"/>
      <c r="M19" s="129"/>
      <c r="N19" s="100"/>
    </row>
    <row r="20" spans="2:14" ht="45" customHeight="1">
      <c r="B20" s="103"/>
      <c r="C20" s="83" t="str">
        <f>IFERROR(VLOOKUP(B20, Base_numéro!A:B, 2, FALSE), "")</f>
        <v/>
      </c>
      <c r="D20" s="122"/>
      <c r="E20" s="122"/>
      <c r="F20" s="88"/>
      <c r="G20" s="88"/>
      <c r="H20" s="91"/>
      <c r="I20" s="122"/>
      <c r="J20" s="122"/>
      <c r="K20" s="122"/>
      <c r="L20" s="122"/>
      <c r="M20" s="129"/>
      <c r="N20" s="100"/>
    </row>
  </sheetData>
  <sheetProtection algorithmName="SHA-512" hashValue="5buxWnSTKbzY+6/UwZ9ju2zpVng1GH95tpcl3X+j3f36jp9aBmyCBL8+ty4Sc45sBW6+T/MGZtUwHdr2iP/sHw==" saltValue="7qIAamV1rvfyPCZlxH/09Q==" spinCount="100000" sheet="1" objects="1" scenarios="1" formatCells="0" formatColumns="0" formatRows="0" insertRows="0" deleteRows="0" sort="0" autoFilter="0"/>
  <mergeCells count="1">
    <mergeCell ref="B3:N3"/>
  </mergeCells>
  <phoneticPr fontId="6" type="noConversion"/>
  <pageMargins left="0.7" right="0.7" top="0.75" bottom="0.75" header="0.3" footer="0.3"/>
  <pageSetup paperSize="9" orientation="portrait" horizontalDpi="200" verticalDpi="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62" yWindow="533" count="4">
        <x14:dataValidation type="list" allowBlank="1" showInputMessage="1" showErrorMessage="1" xr:uid="{08729C42-FE35-074D-B7BE-5F5917968335}">
          <x14:formula1>
            <xm:f>'Base Janvier'!$A$2:$A$15</xm:f>
          </x14:formula1>
          <xm:sqref>B1</xm:sqref>
        </x14:dataValidation>
        <x14:dataValidation type="list" allowBlank="1" showInputMessage="1" showErrorMessage="1" xr:uid="{1A9A3B4C-4C1F-BD41-A1AC-0D508C7FBA63}">
          <x14:formula1>
            <xm:f>'Base Mois'!$A$2:$A$13</xm:f>
          </x14:formula1>
          <xm:sqref>B3</xm:sqref>
        </x14:dataValidation>
        <x14:dataValidation type="list" allowBlank="1" showInputMessage="1" showErrorMessage="1" xr:uid="{185FC343-27DF-3D4F-BCDD-C19A2D3A9581}">
          <x14:formula1>
            <xm:f>'Base Janvier'!$E$2:$E$24</xm:f>
          </x14:formula1>
          <xm:sqref>L1:L2 L21:L1048576 N5:N20</xm:sqref>
        </x14:dataValidation>
        <x14:dataValidation type="list" allowBlank="1" showInputMessage="1" showErrorMessage="1" xr:uid="{DB0394D9-C428-43BA-B411-1386F8E0D622}">
          <x14:formula1>
            <xm:f>'Base Janvier'!$A$2:$A$22</xm:f>
          </x14:formula1>
          <xm:sqref>B5:B1048576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04D1-5A79-4E7D-8688-8FFB6C4702B3}">
  <dimension ref="A1:H24"/>
  <sheetViews>
    <sheetView zoomScaleNormal="100" workbookViewId="0">
      <selection activeCell="E15" sqref="E15"/>
    </sheetView>
  </sheetViews>
  <sheetFormatPr defaultColWidth="11.42578125" defaultRowHeight="15"/>
  <cols>
    <col min="1" max="1" width="36" bestFit="1" customWidth="1"/>
    <col min="2" max="2" width="42.5703125" bestFit="1" customWidth="1"/>
    <col min="4" max="4" width="14.85546875" customWidth="1"/>
    <col min="5" max="5" width="24.7109375" customWidth="1"/>
  </cols>
  <sheetData>
    <row r="1" spans="1:8" ht="30.75" thickBot="1">
      <c r="A1" s="6" t="s">
        <v>94</v>
      </c>
      <c r="B1" s="12" t="s">
        <v>95</v>
      </c>
      <c r="C1" s="2" t="s">
        <v>96</v>
      </c>
      <c r="D1" s="2" t="s">
        <v>97</v>
      </c>
      <c r="E1" s="6" t="s">
        <v>98</v>
      </c>
    </row>
    <row r="2" spans="1:8" ht="19.5" thickBot="1">
      <c r="A2" s="16" t="str">
        <f t="shared" ref="A2:A22" si="0">IF(D2&gt;0,B2," ")</f>
        <v>BEW170 - HUAWEI Mobile 4G</v>
      </c>
      <c r="B2" s="14" t="s">
        <v>65</v>
      </c>
      <c r="C2" s="5">
        <v>1</v>
      </c>
      <c r="D2" s="5">
        <f>C2-(COUNTIF(Février!$N$5:$N$75,'Base Février'!E2))</f>
        <v>1</v>
      </c>
      <c r="E2" s="17" t="s">
        <v>99</v>
      </c>
    </row>
    <row r="3" spans="1:8" ht="19.5" thickBot="1">
      <c r="A3" s="16" t="str">
        <f t="shared" si="0"/>
        <v>BEW172 - HUAWEI Mobile 4G</v>
      </c>
      <c r="B3" s="15" t="s">
        <v>67</v>
      </c>
      <c r="C3" s="5">
        <v>1</v>
      </c>
      <c r="D3" s="5">
        <f>C3-(COUNTIF(Février!$N$5:$N$75,'Base Février'!E3))</f>
        <v>1</v>
      </c>
      <c r="E3" s="18" t="s">
        <v>100</v>
      </c>
      <c r="H3" s="1"/>
    </row>
    <row r="4" spans="1:8" ht="19.5" thickBot="1">
      <c r="A4" s="16" t="str">
        <f t="shared" si="0"/>
        <v>TLP1462 - iPhone 5S</v>
      </c>
      <c r="B4" s="15" t="s">
        <v>68</v>
      </c>
      <c r="C4" s="5">
        <v>1</v>
      </c>
      <c r="D4" s="5">
        <f>C4-(COUNTIF(Février!$N$5:$N$75,'Base Février'!E4))</f>
        <v>1</v>
      </c>
      <c r="E4" s="18" t="s">
        <v>101</v>
      </c>
    </row>
    <row r="5" spans="1:8" ht="19.5" thickBot="1">
      <c r="A5" s="16" t="str">
        <f t="shared" si="0"/>
        <v xml:space="preserve"> </v>
      </c>
      <c r="B5" s="14" t="s">
        <v>69</v>
      </c>
      <c r="C5" s="5">
        <v>1</v>
      </c>
      <c r="D5" s="5">
        <f>C5-(COUNTIF(Février!$N$5:$N$75,'Base Février'!E5))</f>
        <v>0</v>
      </c>
      <c r="E5" s="17" t="s">
        <v>102</v>
      </c>
    </row>
    <row r="6" spans="1:8" ht="19.5" thickBot="1">
      <c r="A6" s="16" t="str">
        <f t="shared" si="0"/>
        <v>TLP1733 - Crosscall  Spider X-1</v>
      </c>
      <c r="B6" s="15" t="s">
        <v>70</v>
      </c>
      <c r="C6" s="5">
        <v>1</v>
      </c>
      <c r="D6" s="5">
        <f>C6-(COUNTIF(Février!$N$5:$N$75,'Base Février'!E6))</f>
        <v>1</v>
      </c>
      <c r="E6" s="18" t="s">
        <v>103</v>
      </c>
    </row>
    <row r="7" spans="1:8" ht="19.5" thickBot="1">
      <c r="A7" s="16" t="str">
        <f t="shared" si="0"/>
        <v>TLP1734 - Crosscall  Spider X-1</v>
      </c>
      <c r="B7" s="14" t="s">
        <v>71</v>
      </c>
      <c r="C7" s="5">
        <v>1</v>
      </c>
      <c r="D7" s="5">
        <f>C7-(COUNTIF(Février!$N$5:$N$75,'Base Février'!E7))</f>
        <v>1</v>
      </c>
      <c r="E7" s="17" t="s">
        <v>104</v>
      </c>
    </row>
    <row r="8" spans="1:8" ht="19.5" thickBot="1">
      <c r="A8" s="16" t="str">
        <f t="shared" si="0"/>
        <v>TLP1735 - Crosscall  Spider X-1</v>
      </c>
      <c r="B8" s="15" t="s">
        <v>72</v>
      </c>
      <c r="C8" s="5">
        <v>1</v>
      </c>
      <c r="D8" s="5">
        <f>C8-(COUNTIF(Février!$N$5:$N$75,'Base Février'!E8))</f>
        <v>1</v>
      </c>
      <c r="E8" s="18" t="s">
        <v>105</v>
      </c>
    </row>
    <row r="9" spans="1:8" ht="19.5" thickBot="1">
      <c r="A9" s="16" t="str">
        <f t="shared" si="0"/>
        <v>TLP1736 - Crosscall  Spider X-1</v>
      </c>
      <c r="B9" s="14" t="s">
        <v>73</v>
      </c>
      <c r="C9" s="5">
        <v>1</v>
      </c>
      <c r="D9" s="5">
        <f>C9-(COUNTIF(Février!$N$5:$N$75,'Base Février'!E9))</f>
        <v>1</v>
      </c>
      <c r="E9" s="17" t="s">
        <v>106</v>
      </c>
    </row>
    <row r="10" spans="1:8" ht="19.5" thickBot="1">
      <c r="A10" s="16" t="str">
        <f t="shared" si="0"/>
        <v xml:space="preserve"> </v>
      </c>
      <c r="B10" s="15" t="s">
        <v>74</v>
      </c>
      <c r="C10" s="5">
        <v>1</v>
      </c>
      <c r="D10" s="5">
        <f>C10-(COUNTIF(Février!$N$5:$N$75,'Base Février'!E10))</f>
        <v>0</v>
      </c>
      <c r="E10" s="18" t="s">
        <v>107</v>
      </c>
    </row>
    <row r="11" spans="1:8" ht="19.5" thickBot="1">
      <c r="A11" s="16" t="str">
        <f t="shared" si="0"/>
        <v xml:space="preserve"> </v>
      </c>
      <c r="B11" s="13" t="s">
        <v>75</v>
      </c>
      <c r="C11" s="5">
        <v>1</v>
      </c>
      <c r="D11" s="5">
        <f>C11-(COUNTIF(Février!$N$5:$N$75,'Base Février'!E11))</f>
        <v>0</v>
      </c>
      <c r="E11" s="19" t="s">
        <v>108</v>
      </c>
    </row>
    <row r="12" spans="1:8" ht="19.5" thickBot="1">
      <c r="A12" s="16" t="str">
        <f t="shared" si="0"/>
        <v>TLP1866 - Mission Sensible</v>
      </c>
      <c r="B12" s="13" t="s">
        <v>76</v>
      </c>
      <c r="C12" s="5">
        <v>1</v>
      </c>
      <c r="D12" s="5">
        <f>C12-(COUNTIF(Février!$N$5:$N$75,'Base Février'!E12))</f>
        <v>1</v>
      </c>
      <c r="E12" s="19" t="s">
        <v>109</v>
      </c>
    </row>
    <row r="13" spans="1:8" ht="19.5" thickBot="1">
      <c r="A13" s="16" t="str">
        <f t="shared" si="0"/>
        <v>TLP1872 - Mission Sensible</v>
      </c>
      <c r="B13" s="13" t="s">
        <v>77</v>
      </c>
      <c r="C13" s="5">
        <v>1</v>
      </c>
      <c r="D13" s="5">
        <f>C13-(COUNTIF(Février!$N$5:$N$75,'Base Février'!E13))</f>
        <v>1</v>
      </c>
      <c r="E13" s="19" t="s">
        <v>110</v>
      </c>
    </row>
    <row r="14" spans="1:8" ht="19.5" thickBot="1">
      <c r="A14" s="16" t="str">
        <f t="shared" si="0"/>
        <v>TLP1878 - iPhone 7 - 10GB Data</v>
      </c>
      <c r="B14" s="14" t="s">
        <v>79</v>
      </c>
      <c r="C14" s="5">
        <v>1</v>
      </c>
      <c r="D14" s="5">
        <f>C14-(COUNTIF(Février!$N$5:$N$75,'Base Février'!E14))</f>
        <v>1</v>
      </c>
      <c r="E14" s="17" t="s">
        <v>111</v>
      </c>
    </row>
    <row r="15" spans="1:8" ht="19.5" thickBot="1">
      <c r="A15" s="16" t="str">
        <f t="shared" si="0"/>
        <v xml:space="preserve"> </v>
      </c>
      <c r="B15" s="13" t="s">
        <v>80</v>
      </c>
      <c r="C15" s="5">
        <v>1</v>
      </c>
      <c r="D15" s="5">
        <f>C15-(COUNTIF(Février!$N$5:$N$75,'Base Février'!E15))</f>
        <v>0</v>
      </c>
      <c r="E15" s="19" t="s">
        <v>112</v>
      </c>
    </row>
    <row r="16" spans="1:8" ht="19.5" thickBot="1">
      <c r="A16" s="16" t="str">
        <f t="shared" si="0"/>
        <v>TLP1903 - Mission Sensible</v>
      </c>
      <c r="B16" s="13" t="s">
        <v>81</v>
      </c>
      <c r="C16" s="5">
        <v>1</v>
      </c>
      <c r="D16" s="5">
        <f>C16-(COUNTIF(Février!$N$5:$N$75,'Base Février'!E16))</f>
        <v>1</v>
      </c>
      <c r="E16" s="19" t="s">
        <v>113</v>
      </c>
    </row>
    <row r="17" spans="1:5" ht="19.5" thickBot="1">
      <c r="A17" s="16" t="str">
        <f t="shared" si="0"/>
        <v>TLP1904 - Mission Sensible</v>
      </c>
      <c r="B17" s="13" t="s">
        <v>83</v>
      </c>
      <c r="C17" s="5">
        <v>1</v>
      </c>
      <c r="D17" s="5">
        <f>C17-(COUNTIF(Février!$N$5:$N$75,'Base Février'!E17))</f>
        <v>1</v>
      </c>
      <c r="E17" s="19" t="s">
        <v>114</v>
      </c>
    </row>
    <row r="18" spans="1:5" ht="19.5" thickBot="1">
      <c r="A18" s="16" t="str">
        <f t="shared" si="0"/>
        <v>TLP2181 - Crosscall  Spider X-5</v>
      </c>
      <c r="B18" s="14" t="s">
        <v>85</v>
      </c>
      <c r="C18" s="5">
        <v>1</v>
      </c>
      <c r="D18" s="5">
        <f>C18-(COUNTIF(Février!$N$5:$N$75,'Base Février'!E18))</f>
        <v>1</v>
      </c>
      <c r="E18" s="17" t="s">
        <v>115</v>
      </c>
    </row>
    <row r="19" spans="1:5" ht="19.5" thickBot="1">
      <c r="A19" s="16" t="str">
        <f t="shared" si="0"/>
        <v>TLP2183 - Crosscall  Spider X-5</v>
      </c>
      <c r="B19" s="15" t="s">
        <v>87</v>
      </c>
      <c r="C19" s="5">
        <v>1</v>
      </c>
      <c r="D19" s="5">
        <f>C19-(COUNTIF(Février!$N$5:$N$75,'Base Février'!E19))</f>
        <v>1</v>
      </c>
      <c r="E19" s="18" t="s">
        <v>116</v>
      </c>
    </row>
    <row r="20" spans="1:5" ht="19.5" thickBot="1">
      <c r="A20" s="16" t="str">
        <f t="shared" si="0"/>
        <v>TLP2184 - Crosscall  Spider X-5</v>
      </c>
      <c r="B20" s="14" t="s">
        <v>89</v>
      </c>
      <c r="C20" s="5">
        <v>1</v>
      </c>
      <c r="D20" s="5">
        <f>C20-(COUNTIF(Février!$N$5:$N$75,'Base Février'!E20))</f>
        <v>1</v>
      </c>
      <c r="E20" s="17" t="s">
        <v>117</v>
      </c>
    </row>
    <row r="21" spans="1:5" ht="19.5" thickBot="1">
      <c r="A21" s="16" t="str">
        <f t="shared" si="0"/>
        <v>TLP2196 - CROSSCALL CORE M5</v>
      </c>
      <c r="B21" s="14" t="s">
        <v>90</v>
      </c>
      <c r="C21" s="5">
        <v>1</v>
      </c>
      <c r="D21" s="5">
        <f>C21-(COUNTIF(Février!$N$5:$N$75,'Base Février'!E21))</f>
        <v>1</v>
      </c>
      <c r="E21" s="17" t="s">
        <v>118</v>
      </c>
    </row>
    <row r="22" spans="1:5" ht="19.5" thickBot="1">
      <c r="A22" s="16" t="str">
        <f t="shared" si="0"/>
        <v>TLP2197 - CROSSCALL CORE M5</v>
      </c>
      <c r="B22" s="14" t="s">
        <v>91</v>
      </c>
      <c r="C22" s="5">
        <v>1</v>
      </c>
      <c r="D22" s="5">
        <f>C22-(COUNTIF(Février!$N$5:$N$75,'Base Février'!E22))</f>
        <v>1</v>
      </c>
      <c r="E22" s="17" t="s">
        <v>119</v>
      </c>
    </row>
    <row r="23" spans="1:5" ht="19.5" thickBot="1">
      <c r="E23" s="7" t="s">
        <v>120</v>
      </c>
    </row>
    <row r="24" spans="1:5" ht="19.5" thickBot="1">
      <c r="E24" s="7" t="s">
        <v>121</v>
      </c>
    </row>
  </sheetData>
  <autoFilter ref="A1:E15" xr:uid="{03156433-8788-4196-A79D-9790F236E9A5}">
    <sortState xmlns:xlrd2="http://schemas.microsoft.com/office/spreadsheetml/2017/richdata2" ref="A2:E24">
      <sortCondition ref="B1:B1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3B3F-256A-422F-8523-0632B1DCEF6F}">
  <dimension ref="B1:N20"/>
  <sheetViews>
    <sheetView showGridLines="0" zoomScale="70" zoomScaleNormal="70" workbookViewId="0">
      <selection activeCell="C12" sqref="C12"/>
    </sheetView>
  </sheetViews>
  <sheetFormatPr defaultColWidth="11.42578125" defaultRowHeight="15"/>
  <cols>
    <col min="2" max="2" width="37.5703125" style="84" bestFit="1" customWidth="1"/>
    <col min="3" max="8" width="25.7109375" style="84" customWidth="1"/>
    <col min="9" max="9" width="36.42578125" style="84" bestFit="1" customWidth="1"/>
    <col min="10" max="10" width="36.42578125" style="84" customWidth="1"/>
    <col min="11" max="11" width="31.85546875" style="84" customWidth="1"/>
    <col min="12" max="12" width="23" style="84" bestFit="1" customWidth="1"/>
    <col min="13" max="13" width="20.85546875" style="84" bestFit="1" customWidth="1"/>
    <col min="14" max="14" width="21.7109375" style="84" bestFit="1" customWidth="1"/>
  </cols>
  <sheetData>
    <row r="1" spans="2:14">
      <c r="C1"/>
    </row>
    <row r="2" spans="2:14" ht="31.5" customHeight="1">
      <c r="C2" s="4"/>
      <c r="D2" s="101"/>
      <c r="E2" s="101"/>
      <c r="F2" s="101"/>
      <c r="G2" s="101"/>
      <c r="H2" s="101"/>
    </row>
    <row r="3" spans="2:14" ht="28.5">
      <c r="B3" s="286" t="s">
        <v>1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</row>
    <row r="4" spans="2:14" ht="45" customHeight="1">
      <c r="B4" s="102" t="s">
        <v>122</v>
      </c>
      <c r="C4" s="3" t="s">
        <v>123</v>
      </c>
      <c r="D4" s="85" t="s">
        <v>124</v>
      </c>
      <c r="E4" s="85" t="s">
        <v>125</v>
      </c>
      <c r="F4" s="85" t="s">
        <v>126</v>
      </c>
      <c r="G4" s="85" t="s">
        <v>127</v>
      </c>
      <c r="H4" s="85" t="s">
        <v>128</v>
      </c>
      <c r="I4" s="85" t="s">
        <v>129</v>
      </c>
      <c r="J4" s="85" t="s">
        <v>130</v>
      </c>
      <c r="K4" s="85" t="s">
        <v>131</v>
      </c>
      <c r="L4" s="86" t="s">
        <v>132</v>
      </c>
      <c r="M4" s="86" t="s">
        <v>133</v>
      </c>
      <c r="N4" s="87" t="s">
        <v>134</v>
      </c>
    </row>
    <row r="5" spans="2:14" ht="45" customHeight="1">
      <c r="B5" s="106" t="s">
        <v>69</v>
      </c>
      <c r="C5" s="107">
        <f>IFERROR(VLOOKUP(B5, Base_numéro!A:B, 2, FALSE), "")</f>
        <v>612938590</v>
      </c>
      <c r="D5" s="120" t="s">
        <v>135</v>
      </c>
      <c r="E5" s="120" t="s">
        <v>136</v>
      </c>
      <c r="F5" s="112">
        <v>45009</v>
      </c>
      <c r="G5" s="113" t="s">
        <v>137</v>
      </c>
      <c r="H5" s="108"/>
      <c r="I5" s="120"/>
      <c r="J5" s="120" t="s">
        <v>138</v>
      </c>
      <c r="K5" s="120" t="s">
        <v>139</v>
      </c>
      <c r="L5" s="124"/>
      <c r="M5" s="125"/>
      <c r="N5" s="246" t="s">
        <v>102</v>
      </c>
    </row>
    <row r="6" spans="2:14" ht="45" customHeight="1">
      <c r="B6" s="114" t="s">
        <v>74</v>
      </c>
      <c r="C6" s="115">
        <f>IFERROR(VLOOKUP(B6, Base_numéro!A:B, 2, FALSE), "")</f>
        <v>620024461</v>
      </c>
      <c r="D6" s="141" t="s">
        <v>140</v>
      </c>
      <c r="E6" s="141" t="s">
        <v>141</v>
      </c>
      <c r="F6" s="142">
        <v>44159</v>
      </c>
      <c r="G6" s="142">
        <v>44220</v>
      </c>
      <c r="H6" s="141" t="s">
        <v>142</v>
      </c>
      <c r="I6" s="126"/>
      <c r="J6" s="141" t="s">
        <v>143</v>
      </c>
      <c r="K6" s="141" t="s">
        <v>144</v>
      </c>
      <c r="L6" s="127"/>
      <c r="M6" s="128"/>
      <c r="N6" s="247" t="s">
        <v>107</v>
      </c>
    </row>
    <row r="7" spans="2:14" ht="45" customHeight="1">
      <c r="B7" s="238" t="s">
        <v>83</v>
      </c>
      <c r="C7" s="239">
        <f>IFERROR(VLOOKUP(B7, Base_numéro!A:B, 2, FALSE), "")</f>
        <v>631588174</v>
      </c>
      <c r="D7" s="240" t="s">
        <v>166</v>
      </c>
      <c r="E7" s="241" t="s">
        <v>167</v>
      </c>
      <c r="F7" s="245">
        <v>46054</v>
      </c>
      <c r="G7" s="245">
        <v>46059</v>
      </c>
      <c r="H7" s="242"/>
      <c r="I7" s="243"/>
      <c r="J7" s="243" t="s">
        <v>168</v>
      </c>
      <c r="K7" s="241"/>
      <c r="L7" s="241"/>
      <c r="M7" s="244"/>
      <c r="N7" s="248" t="s">
        <v>120</v>
      </c>
    </row>
    <row r="8" spans="2:14" ht="45" customHeight="1">
      <c r="B8" s="273" t="s">
        <v>75</v>
      </c>
      <c r="C8" s="274">
        <f>IFERROR(VLOOKUP(B8, Base_numéro!A:B, 2, FALSE), "")</f>
        <v>631578315</v>
      </c>
      <c r="D8" s="127" t="s">
        <v>159</v>
      </c>
      <c r="E8" s="127" t="s">
        <v>160</v>
      </c>
      <c r="F8" s="118">
        <v>46044</v>
      </c>
      <c r="G8" s="118">
        <v>46056</v>
      </c>
      <c r="H8" s="117"/>
      <c r="I8" s="127"/>
      <c r="J8" s="127" t="s">
        <v>161</v>
      </c>
      <c r="K8" s="127"/>
      <c r="L8" s="124"/>
      <c r="M8" s="128"/>
      <c r="N8" s="275" t="s">
        <v>108</v>
      </c>
    </row>
    <row r="9" spans="2:14" ht="45" customHeight="1">
      <c r="B9" s="276" t="s">
        <v>80</v>
      </c>
      <c r="C9" s="107">
        <f>IFERROR(VLOOKUP(B9, Base_numéro!A:B, 2, FALSE), "")</f>
        <v>631576199</v>
      </c>
      <c r="D9" s="235" t="s">
        <v>156</v>
      </c>
      <c r="E9" s="235" t="s">
        <v>157</v>
      </c>
      <c r="F9" s="277">
        <v>46044</v>
      </c>
      <c r="G9" s="277">
        <v>46062</v>
      </c>
      <c r="H9" s="278"/>
      <c r="I9" s="235"/>
      <c r="J9" s="235" t="s">
        <v>158</v>
      </c>
      <c r="K9" s="235"/>
      <c r="L9" s="235"/>
      <c r="M9" s="125"/>
      <c r="N9" s="246" t="s">
        <v>112</v>
      </c>
    </row>
    <row r="10" spans="2:14" ht="45" customHeight="1">
      <c r="B10" s="104"/>
      <c r="C10" s="82" t="str">
        <f>IFERROR(VLOOKUP(B10, Base_numéro!A:B, 2, FALSE), "")</f>
        <v/>
      </c>
      <c r="D10" s="122"/>
      <c r="E10" s="122"/>
      <c r="F10" s="88"/>
      <c r="G10" s="88"/>
      <c r="H10" s="229"/>
      <c r="I10" s="122"/>
      <c r="J10" s="122"/>
      <c r="K10" s="122"/>
      <c r="L10" s="272"/>
      <c r="M10" s="129"/>
      <c r="N10" s="249"/>
    </row>
    <row r="11" spans="2:14" ht="45" customHeight="1">
      <c r="B11" s="103"/>
      <c r="C11" s="83" t="str">
        <f>IFERROR(VLOOKUP(B11, Base_numéro!A:B, 2, FALSE), "")</f>
        <v/>
      </c>
      <c r="D11" s="122"/>
      <c r="E11" s="122"/>
      <c r="F11" s="88"/>
      <c r="G11" s="88"/>
      <c r="H11" s="91"/>
      <c r="I11" s="122"/>
      <c r="J11" s="122"/>
      <c r="K11" s="122"/>
      <c r="L11" s="122"/>
      <c r="M11" s="129"/>
      <c r="N11" s="250"/>
    </row>
    <row r="12" spans="2:14" ht="45" customHeight="1">
      <c r="B12" s="103"/>
      <c r="C12" s="83" t="str">
        <f>IFERROR(VLOOKUP(B12, Base_numéro!A:B, 2, FALSE), "")</f>
        <v/>
      </c>
      <c r="D12" s="122"/>
      <c r="E12" s="122"/>
      <c r="F12" s="88"/>
      <c r="G12" s="88"/>
      <c r="H12" s="91"/>
      <c r="I12" s="122"/>
      <c r="J12" s="122"/>
      <c r="K12" s="122"/>
      <c r="L12" s="122"/>
      <c r="M12" s="129"/>
      <c r="N12" s="250"/>
    </row>
    <row r="13" spans="2:14" ht="45" customHeight="1">
      <c r="B13" s="103"/>
      <c r="C13" s="83" t="str">
        <f>IFERROR(VLOOKUP(B13, Base_numéro!A:B, 2, FALSE), "")</f>
        <v/>
      </c>
      <c r="D13" s="122"/>
      <c r="E13" s="122"/>
      <c r="F13" s="88"/>
      <c r="G13" s="88"/>
      <c r="H13" s="91"/>
      <c r="I13" s="122"/>
      <c r="J13" s="122"/>
      <c r="K13" s="122"/>
      <c r="L13" s="122"/>
      <c r="M13" s="129"/>
      <c r="N13" s="250"/>
    </row>
    <row r="14" spans="2:14" ht="45" customHeight="1">
      <c r="B14" s="103"/>
      <c r="C14" s="83" t="str">
        <f>IFERROR(VLOOKUP(B14, Base_numéro!A:B, 2, FALSE), "")</f>
        <v/>
      </c>
      <c r="D14" s="122"/>
      <c r="E14" s="122"/>
      <c r="F14" s="88"/>
      <c r="G14" s="88"/>
      <c r="H14" s="91"/>
      <c r="I14" s="122"/>
      <c r="J14" s="122"/>
      <c r="K14" s="122"/>
      <c r="L14" s="122"/>
      <c r="M14" s="129"/>
      <c r="N14" s="250"/>
    </row>
    <row r="15" spans="2:14" ht="45" customHeight="1">
      <c r="B15" s="103"/>
      <c r="C15" s="83" t="str">
        <f>IFERROR(VLOOKUP(B15, Base_numéro!A:B, 2, FALSE), "")</f>
        <v/>
      </c>
      <c r="D15" s="122"/>
      <c r="E15" s="122"/>
      <c r="F15" s="88"/>
      <c r="G15" s="88"/>
      <c r="H15" s="91"/>
      <c r="I15" s="122"/>
      <c r="J15" s="122"/>
      <c r="K15" s="122"/>
      <c r="L15" s="122"/>
      <c r="M15" s="129"/>
      <c r="N15" s="250"/>
    </row>
    <row r="16" spans="2:14" ht="45" customHeight="1">
      <c r="B16" s="103"/>
      <c r="C16" s="83" t="str">
        <f>IFERROR(VLOOKUP(B16, Base_numéro!A:B, 2, FALSE), "")</f>
        <v/>
      </c>
      <c r="D16" s="122"/>
      <c r="E16" s="122"/>
      <c r="F16" s="88"/>
      <c r="G16" s="88"/>
      <c r="H16" s="91"/>
      <c r="I16" s="122"/>
      <c r="J16" s="122"/>
      <c r="K16" s="122"/>
      <c r="L16" s="122"/>
      <c r="M16" s="129"/>
      <c r="N16" s="250"/>
    </row>
    <row r="17" spans="2:14" ht="45" customHeight="1">
      <c r="B17" s="103"/>
      <c r="C17" s="83" t="str">
        <f>IFERROR(VLOOKUP(B17, Base_numéro!A:B, 2, FALSE), "")</f>
        <v/>
      </c>
      <c r="D17" s="122"/>
      <c r="E17" s="122"/>
      <c r="F17" s="88"/>
      <c r="G17" s="88"/>
      <c r="H17" s="91"/>
      <c r="I17" s="122"/>
      <c r="J17" s="122"/>
      <c r="K17" s="122"/>
      <c r="L17" s="122"/>
      <c r="M17" s="129"/>
      <c r="N17" s="250"/>
    </row>
    <row r="18" spans="2:14" ht="45" customHeight="1">
      <c r="B18" s="103"/>
      <c r="C18" s="83" t="str">
        <f>IFERROR(VLOOKUP(B18, Base_numéro!A:B, 2, FALSE), "")</f>
        <v/>
      </c>
      <c r="D18" s="122"/>
      <c r="E18" s="122"/>
      <c r="F18" s="88"/>
      <c r="G18" s="88"/>
      <c r="H18" s="91"/>
      <c r="I18" s="122"/>
      <c r="J18" s="122"/>
      <c r="K18" s="122"/>
      <c r="L18" s="122"/>
      <c r="M18" s="129"/>
      <c r="N18" s="250"/>
    </row>
    <row r="19" spans="2:14" ht="45" customHeight="1">
      <c r="B19" s="103"/>
      <c r="C19" s="83" t="str">
        <f>IFERROR(VLOOKUP(B19, Base_numéro!A:B, 2, FALSE), "")</f>
        <v/>
      </c>
      <c r="D19" s="122"/>
      <c r="E19" s="122"/>
      <c r="F19" s="88"/>
      <c r="G19" s="88"/>
      <c r="H19" s="91"/>
      <c r="I19" s="122"/>
      <c r="J19" s="122"/>
      <c r="K19" s="122"/>
      <c r="L19" s="122"/>
      <c r="M19" s="129"/>
      <c r="N19" s="250"/>
    </row>
    <row r="20" spans="2:14" ht="45" customHeight="1">
      <c r="B20" s="103"/>
      <c r="C20" s="83" t="str">
        <f>IFERROR(VLOOKUP(B20, Base_numéro!A:B, 2, FALSE), "")</f>
        <v/>
      </c>
      <c r="D20" s="122"/>
      <c r="E20" s="122"/>
      <c r="F20" s="88"/>
      <c r="G20" s="88"/>
      <c r="H20" s="91"/>
      <c r="I20" s="122"/>
      <c r="J20" s="122"/>
      <c r="K20" s="122"/>
      <c r="L20" s="122"/>
      <c r="M20" s="129"/>
      <c r="N20" s="250"/>
    </row>
  </sheetData>
  <sheetProtection algorithmName="SHA-512" hashValue="rAi9RCSgCuYWLf1WDzHOw3EL8EE+SNqWAYsEw0XQu+M/Z/CdGmQk0JhG+0STbYEZiSOJ/5CAdeVzk0etKUD0AQ==" saltValue="QPG8gAFx3fW45hgHMpUArQ==" spinCount="100000" sheet="1" objects="1" scenarios="1" formatCells="0" formatColumns="0" formatRows="0" insertRows="0" deleteRows="0" sort="0" autoFilter="0"/>
  <mergeCells count="1">
    <mergeCell ref="B3:N3"/>
  </mergeCells>
  <pageMargins left="0.7" right="0.7" top="0.75" bottom="0.75" header="0.3" footer="0.3"/>
  <pageSetup paperSize="9" orientation="portrait" horizontalDpi="200" verticalDpi="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BA80AC6-2F8D-4F30-97F2-BE0BBA8C7883}">
          <x14:formula1>
            <xm:f>'Base Janvier'!$A$2:$A$22</xm:f>
          </x14:formula1>
          <xm:sqref>B21:B1048576 B5:B6</xm:sqref>
        </x14:dataValidation>
        <x14:dataValidation type="list" allowBlank="1" showInputMessage="1" showErrorMessage="1" xr:uid="{722F79E6-7B9F-4360-8E2F-6BC7FDE5B569}">
          <x14:formula1>
            <xm:f>'Base Janvier'!$E$2:$E$24</xm:f>
          </x14:formula1>
          <xm:sqref>L1:L2 L21:L1048576 N5:N6</xm:sqref>
        </x14:dataValidation>
        <x14:dataValidation type="list" allowBlank="1" showInputMessage="1" showErrorMessage="1" xr:uid="{15E522D7-AC88-4474-9B86-F037A063395A}">
          <x14:formula1>
            <xm:f>'Base Mois'!$A$2:$A$13</xm:f>
          </x14:formula1>
          <xm:sqref>B3</xm:sqref>
        </x14:dataValidation>
        <x14:dataValidation type="list" allowBlank="1" showInputMessage="1" showErrorMessage="1" xr:uid="{3737EAD0-D8A1-47EB-BA17-4A8E0EBD8EB5}">
          <x14:formula1>
            <xm:f>'Base Janvier'!$A$2:$A$15</xm:f>
          </x14:formula1>
          <xm:sqref>B1</xm:sqref>
        </x14:dataValidation>
        <x14:dataValidation type="list" allowBlank="1" showInputMessage="1" showErrorMessage="1" xr:uid="{1B39E3E9-F31E-445A-8736-AA01072074C3}">
          <x14:formula1>
            <xm:f>'Base Février'!$A$2:$A$22</xm:f>
          </x14:formula1>
          <xm:sqref>B7:B20</xm:sqref>
        </x14:dataValidation>
        <x14:dataValidation type="list" allowBlank="1" showInputMessage="1" showErrorMessage="1" xr:uid="{A59C3266-8ECE-4FE8-9D91-AEA2D7A4ABC8}">
          <x14:formula1>
            <xm:f>'Base Février'!$E$2:$E$24</xm:f>
          </x14:formula1>
          <xm:sqref>N11:N20 N7:N9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5C03-54D7-4C37-8001-51CDFD63C3E4}">
  <dimension ref="A1:H24"/>
  <sheetViews>
    <sheetView zoomScaleNormal="100" workbookViewId="0">
      <selection activeCell="E15" sqref="E15"/>
    </sheetView>
  </sheetViews>
  <sheetFormatPr defaultColWidth="11.42578125" defaultRowHeight="15"/>
  <cols>
    <col min="1" max="1" width="36" bestFit="1" customWidth="1"/>
    <col min="2" max="2" width="42.5703125" bestFit="1" customWidth="1"/>
    <col min="4" max="4" width="14.85546875" customWidth="1"/>
    <col min="5" max="5" width="24.7109375" customWidth="1"/>
  </cols>
  <sheetData>
    <row r="1" spans="1:8" ht="30.75" thickBot="1">
      <c r="A1" s="6" t="s">
        <v>94</v>
      </c>
      <c r="B1" s="12" t="s">
        <v>95</v>
      </c>
      <c r="C1" s="2" t="s">
        <v>96</v>
      </c>
      <c r="D1" s="2" t="s">
        <v>97</v>
      </c>
      <c r="E1" s="6" t="s">
        <v>98</v>
      </c>
    </row>
    <row r="2" spans="1:8" ht="19.5" thickBot="1">
      <c r="A2" s="16" t="str">
        <f t="shared" ref="A2:A22" si="0">IF(D2&gt;0,B2," ")</f>
        <v>BEW170 - HUAWEI Mobile 4G</v>
      </c>
      <c r="B2" s="14" t="s">
        <v>65</v>
      </c>
      <c r="C2" s="5">
        <v>1</v>
      </c>
      <c r="D2" s="5">
        <f>C2-(COUNTIF(Mars!$N$5:$N$75,'Base Mars'!E2))</f>
        <v>1</v>
      </c>
      <c r="E2" s="17" t="s">
        <v>99</v>
      </c>
    </row>
    <row r="3" spans="1:8" ht="19.5" thickBot="1">
      <c r="A3" s="16" t="str">
        <f t="shared" si="0"/>
        <v>BEW172 - HUAWEI Mobile 4G</v>
      </c>
      <c r="B3" s="15" t="s">
        <v>67</v>
      </c>
      <c r="C3" s="5">
        <v>1</v>
      </c>
      <c r="D3" s="5">
        <f>C3-(COUNTIF(Mars!$N$5:$N$75,'Base Mars'!E3))</f>
        <v>1</v>
      </c>
      <c r="E3" s="18" t="s">
        <v>100</v>
      </c>
      <c r="H3" s="1"/>
    </row>
    <row r="4" spans="1:8" ht="19.5" thickBot="1">
      <c r="A4" s="16" t="str">
        <f t="shared" si="0"/>
        <v>TLP1462 - iPhone 5S</v>
      </c>
      <c r="B4" s="15" t="s">
        <v>68</v>
      </c>
      <c r="C4" s="5">
        <v>1</v>
      </c>
      <c r="D4" s="5">
        <f>C4-(COUNTIF(Mars!$N$5:$N$75,'Base Mars'!E4))</f>
        <v>1</v>
      </c>
      <c r="E4" s="18" t="s">
        <v>101</v>
      </c>
    </row>
    <row r="5" spans="1:8" ht="19.5" thickBot="1">
      <c r="A5" s="16" t="str">
        <f t="shared" si="0"/>
        <v xml:space="preserve"> </v>
      </c>
      <c r="B5" s="14" t="s">
        <v>69</v>
      </c>
      <c r="C5" s="5">
        <v>1</v>
      </c>
      <c r="D5" s="5">
        <f>C5-(COUNTIF(Mars!$N$5:$N$75,'Base Mars'!E5))</f>
        <v>0</v>
      </c>
      <c r="E5" s="17" t="s">
        <v>102</v>
      </c>
    </row>
    <row r="6" spans="1:8" ht="19.5" thickBot="1">
      <c r="A6" s="16" t="str">
        <f t="shared" si="0"/>
        <v>TLP1733 - Crosscall  Spider X-1</v>
      </c>
      <c r="B6" s="15" t="s">
        <v>70</v>
      </c>
      <c r="C6" s="5">
        <v>1</v>
      </c>
      <c r="D6" s="5">
        <f>C6-(COUNTIF(Mars!$N$5:$N$75,'Base Mars'!E6))</f>
        <v>1</v>
      </c>
      <c r="E6" s="18" t="s">
        <v>103</v>
      </c>
    </row>
    <row r="7" spans="1:8" ht="19.5" thickBot="1">
      <c r="A7" s="16" t="str">
        <f t="shared" si="0"/>
        <v>TLP1734 - Crosscall  Spider X-1</v>
      </c>
      <c r="B7" s="14" t="s">
        <v>71</v>
      </c>
      <c r="C7" s="5">
        <v>1</v>
      </c>
      <c r="D7" s="5">
        <f>C7-(COUNTIF(Mars!$N$5:$N$75,'Base Mars'!E7))</f>
        <v>1</v>
      </c>
      <c r="E7" s="17" t="s">
        <v>104</v>
      </c>
    </row>
    <row r="8" spans="1:8" ht="19.5" thickBot="1">
      <c r="A8" s="16" t="str">
        <f t="shared" si="0"/>
        <v>TLP1735 - Crosscall  Spider X-1</v>
      </c>
      <c r="B8" s="15" t="s">
        <v>72</v>
      </c>
      <c r="C8" s="5">
        <v>1</v>
      </c>
      <c r="D8" s="5">
        <f>C8-(COUNTIF(Mars!$N$5:$N$75,'Base Mars'!E8))</f>
        <v>1</v>
      </c>
      <c r="E8" s="18" t="s">
        <v>105</v>
      </c>
    </row>
    <row r="9" spans="1:8" ht="19.5" thickBot="1">
      <c r="A9" s="16" t="str">
        <f t="shared" si="0"/>
        <v>TLP1736 - Crosscall  Spider X-1</v>
      </c>
      <c r="B9" s="14" t="s">
        <v>73</v>
      </c>
      <c r="C9" s="5">
        <v>1</v>
      </c>
      <c r="D9" s="5">
        <f>C9-(COUNTIF(Mars!$N$5:$N$75,'Base Mars'!E9))</f>
        <v>1</v>
      </c>
      <c r="E9" s="17" t="s">
        <v>106</v>
      </c>
    </row>
    <row r="10" spans="1:8" ht="19.5" thickBot="1">
      <c r="A10" s="16" t="str">
        <f t="shared" si="0"/>
        <v xml:space="preserve"> </v>
      </c>
      <c r="B10" s="15" t="s">
        <v>74</v>
      </c>
      <c r="C10" s="5">
        <v>1</v>
      </c>
      <c r="D10" s="5">
        <f>C10-(COUNTIF(Mars!$N$5:$N$75,'Base Mars'!E10))</f>
        <v>0</v>
      </c>
      <c r="E10" s="18" t="s">
        <v>107</v>
      </c>
    </row>
    <row r="11" spans="1:8" ht="19.5" thickBot="1">
      <c r="A11" s="16" t="str">
        <f t="shared" si="0"/>
        <v>TLP1862 - Mission Sensible</v>
      </c>
      <c r="B11" s="13" t="s">
        <v>75</v>
      </c>
      <c r="C11" s="5">
        <v>1</v>
      </c>
      <c r="D11" s="5">
        <f>C11-(COUNTIF(Mars!$N$5:$N$75,'Base Mars'!E11))</f>
        <v>1</v>
      </c>
      <c r="E11" s="19" t="s">
        <v>108</v>
      </c>
    </row>
    <row r="12" spans="1:8" ht="19.5" thickBot="1">
      <c r="A12" s="16" t="str">
        <f t="shared" si="0"/>
        <v>TLP1866 - Mission Sensible</v>
      </c>
      <c r="B12" s="13" t="s">
        <v>76</v>
      </c>
      <c r="C12" s="5">
        <v>1</v>
      </c>
      <c r="D12" s="5">
        <f>C12-(COUNTIF(Mars!$N$5:$N$75,'Base Mars'!E12))</f>
        <v>1</v>
      </c>
      <c r="E12" s="19" t="s">
        <v>109</v>
      </c>
    </row>
    <row r="13" spans="1:8" ht="19.5" thickBot="1">
      <c r="A13" s="16" t="str">
        <f t="shared" si="0"/>
        <v>TLP1872 - Mission Sensible</v>
      </c>
      <c r="B13" s="13" t="s">
        <v>77</v>
      </c>
      <c r="C13" s="5">
        <v>1</v>
      </c>
      <c r="D13" s="5">
        <f>C13-(COUNTIF(Mars!$N$5:$N$75,'Base Mars'!E13))</f>
        <v>1</v>
      </c>
      <c r="E13" s="19" t="s">
        <v>110</v>
      </c>
    </row>
    <row r="14" spans="1:8" ht="19.5" thickBot="1">
      <c r="A14" s="16" t="str">
        <f t="shared" si="0"/>
        <v>TLP1878 - iPhone 7 - 10GB Data</v>
      </c>
      <c r="B14" s="14" t="s">
        <v>79</v>
      </c>
      <c r="C14" s="5">
        <v>1</v>
      </c>
      <c r="D14" s="5">
        <f>C14-(COUNTIF(Mars!$N$5:$N$75,'Base Mars'!E14))</f>
        <v>1</v>
      </c>
      <c r="E14" s="17" t="s">
        <v>111</v>
      </c>
    </row>
    <row r="15" spans="1:8" ht="19.5" thickBot="1">
      <c r="A15" s="16" t="str">
        <f t="shared" si="0"/>
        <v>TLP1894 - Mission Sensible</v>
      </c>
      <c r="B15" s="13" t="s">
        <v>80</v>
      </c>
      <c r="C15" s="5">
        <v>1</v>
      </c>
      <c r="D15" s="5">
        <f>C15-(COUNTIF(Mars!$N$5:$N$75,'Base Mars'!E15))</f>
        <v>1</v>
      </c>
      <c r="E15" s="19" t="s">
        <v>112</v>
      </c>
    </row>
    <row r="16" spans="1:8" ht="19.5" thickBot="1">
      <c r="A16" s="16" t="str">
        <f t="shared" si="0"/>
        <v>TLP1903 - Mission Sensible</v>
      </c>
      <c r="B16" s="13" t="s">
        <v>81</v>
      </c>
      <c r="C16" s="5">
        <v>1</v>
      </c>
      <c r="D16" s="5">
        <f>C16-(COUNTIF(Mars!$N$5:$N$75,'Base Mars'!E16))</f>
        <v>1</v>
      </c>
      <c r="E16" s="19" t="s">
        <v>113</v>
      </c>
    </row>
    <row r="17" spans="1:5" ht="19.5" thickBot="1">
      <c r="A17" s="16" t="str">
        <f t="shared" si="0"/>
        <v>TLP1904 - Mission Sensible</v>
      </c>
      <c r="B17" s="13" t="s">
        <v>83</v>
      </c>
      <c r="C17" s="5">
        <v>1</v>
      </c>
      <c r="D17" s="5">
        <f>C17-(COUNTIF(Mars!$N$5:$N$75,'Base Mars'!E17))</f>
        <v>1</v>
      </c>
      <c r="E17" s="19" t="s">
        <v>114</v>
      </c>
    </row>
    <row r="18" spans="1:5" ht="19.5" thickBot="1">
      <c r="A18" s="16" t="str">
        <f t="shared" si="0"/>
        <v>TLP2181 - Crosscall  Spider X-5</v>
      </c>
      <c r="B18" s="14" t="s">
        <v>85</v>
      </c>
      <c r="C18" s="5">
        <v>1</v>
      </c>
      <c r="D18" s="5">
        <f>C18-(COUNTIF(Mars!$N$5:$N$75,'Base Mars'!E18))</f>
        <v>1</v>
      </c>
      <c r="E18" s="17" t="s">
        <v>115</v>
      </c>
    </row>
    <row r="19" spans="1:5" ht="19.5" thickBot="1">
      <c r="A19" s="16" t="str">
        <f t="shared" si="0"/>
        <v>TLP2183 - Crosscall  Spider X-5</v>
      </c>
      <c r="B19" s="15" t="s">
        <v>87</v>
      </c>
      <c r="C19" s="5">
        <v>1</v>
      </c>
      <c r="D19" s="5">
        <f>C19-(COUNTIF(Mars!$N$5:$N$75,'Base Mars'!E19))</f>
        <v>1</v>
      </c>
      <c r="E19" s="18" t="s">
        <v>116</v>
      </c>
    </row>
    <row r="20" spans="1:5" ht="19.5" thickBot="1">
      <c r="A20" s="16" t="str">
        <f t="shared" si="0"/>
        <v>TLP2184 - Crosscall  Spider X-5</v>
      </c>
      <c r="B20" s="14" t="s">
        <v>89</v>
      </c>
      <c r="C20" s="5">
        <v>1</v>
      </c>
      <c r="D20" s="5">
        <f>C20-(COUNTIF(Mars!$N$5:$N$75,'Base Mars'!E20))</f>
        <v>1</v>
      </c>
      <c r="E20" s="17" t="s">
        <v>117</v>
      </c>
    </row>
    <row r="21" spans="1:5" ht="19.5" thickBot="1">
      <c r="A21" s="16" t="str">
        <f t="shared" si="0"/>
        <v>TLP2196 - CROSSCALL CORE M5</v>
      </c>
      <c r="B21" s="14" t="s">
        <v>90</v>
      </c>
      <c r="C21" s="5">
        <v>1</v>
      </c>
      <c r="D21" s="5">
        <f>C21-(COUNTIF(Mars!$N$5:$N$75,'Base Mars'!E21))</f>
        <v>1</v>
      </c>
      <c r="E21" s="17" t="s">
        <v>118</v>
      </c>
    </row>
    <row r="22" spans="1:5" ht="19.5" thickBot="1">
      <c r="A22" s="16" t="str">
        <f t="shared" si="0"/>
        <v>TLP2197 - CROSSCALL CORE M5</v>
      </c>
      <c r="B22" s="14" t="s">
        <v>91</v>
      </c>
      <c r="C22" s="5">
        <v>1</v>
      </c>
      <c r="D22" s="5">
        <f>C22-(COUNTIF(Mars!$N$5:$N$75,'Base Mars'!E22))</f>
        <v>1</v>
      </c>
      <c r="E22" s="17" t="s">
        <v>119</v>
      </c>
    </row>
    <row r="23" spans="1:5" ht="19.5" thickBot="1">
      <c r="E23" s="7" t="s">
        <v>120</v>
      </c>
    </row>
    <row r="24" spans="1:5" ht="19.5" thickBot="1">
      <c r="E24" s="7" t="s">
        <v>121</v>
      </c>
    </row>
  </sheetData>
  <autoFilter ref="A1:E15" xr:uid="{03156433-8788-4196-A79D-9790F236E9A5}">
    <sortState xmlns:xlrd2="http://schemas.microsoft.com/office/spreadsheetml/2017/richdata2" ref="A2:E24">
      <sortCondition ref="B1:B15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548A-B9E8-410A-A8CB-7EFAADFAA23F}">
  <dimension ref="A1:H24"/>
  <sheetViews>
    <sheetView zoomScaleNormal="100" workbookViewId="0">
      <selection activeCell="E15" sqref="E15"/>
    </sheetView>
  </sheetViews>
  <sheetFormatPr defaultColWidth="11.42578125" defaultRowHeight="15"/>
  <cols>
    <col min="1" max="1" width="36" bestFit="1" customWidth="1"/>
    <col min="2" max="2" width="42.5703125" bestFit="1" customWidth="1"/>
    <col min="4" max="4" width="14.85546875" customWidth="1"/>
    <col min="5" max="5" width="24.7109375" customWidth="1"/>
  </cols>
  <sheetData>
    <row r="1" spans="1:8" ht="30.75" thickBot="1">
      <c r="A1" s="6" t="s">
        <v>94</v>
      </c>
      <c r="B1" s="12" t="s">
        <v>95</v>
      </c>
      <c r="C1" s="2" t="s">
        <v>96</v>
      </c>
      <c r="D1" s="2" t="s">
        <v>97</v>
      </c>
      <c r="E1" s="6" t="s">
        <v>98</v>
      </c>
    </row>
    <row r="2" spans="1:8" ht="19.5" thickBot="1">
      <c r="A2" s="16" t="str">
        <f t="shared" ref="A2:A22" si="0">IF(D2&gt;0,B2," ")</f>
        <v>BEW170 - HUAWEI Mobile 4G</v>
      </c>
      <c r="B2" s="14" t="s">
        <v>65</v>
      </c>
      <c r="C2" s="5">
        <v>1</v>
      </c>
      <c r="D2" s="5">
        <f>C2-(COUNTIF(Avril!$N$5:$N$75,'Base Avril'!E2))</f>
        <v>1</v>
      </c>
      <c r="E2" s="17" t="s">
        <v>99</v>
      </c>
    </row>
    <row r="3" spans="1:8" ht="19.5" thickBot="1">
      <c r="A3" s="16" t="str">
        <f t="shared" si="0"/>
        <v>BEW172 - HUAWEI Mobile 4G</v>
      </c>
      <c r="B3" s="15" t="s">
        <v>67</v>
      </c>
      <c r="C3" s="5">
        <v>1</v>
      </c>
      <c r="D3" s="5">
        <f>C3-(COUNTIF(Avril!$N$5:$N$75,'Base Avril'!E3))</f>
        <v>1</v>
      </c>
      <c r="E3" s="18" t="s">
        <v>100</v>
      </c>
      <c r="H3" s="1"/>
    </row>
    <row r="4" spans="1:8" ht="19.5" thickBot="1">
      <c r="A4" s="16" t="str">
        <f t="shared" si="0"/>
        <v>TLP1462 - iPhone 5S</v>
      </c>
      <c r="B4" s="15" t="s">
        <v>68</v>
      </c>
      <c r="C4" s="5">
        <v>1</v>
      </c>
      <c r="D4" s="5">
        <f>C4-(COUNTIF(Avril!$N$5:$N$75,'Base Avril'!E4))</f>
        <v>1</v>
      </c>
      <c r="E4" s="18" t="s">
        <v>101</v>
      </c>
    </row>
    <row r="5" spans="1:8" ht="19.5" thickBot="1">
      <c r="A5" s="16" t="str">
        <f t="shared" si="0"/>
        <v xml:space="preserve"> </v>
      </c>
      <c r="B5" s="14" t="s">
        <v>69</v>
      </c>
      <c r="C5" s="5">
        <v>1</v>
      </c>
      <c r="D5" s="5">
        <f>C5-(COUNTIF(Avril!$N$5:$N$75,'Base Avril'!E5))</f>
        <v>0</v>
      </c>
      <c r="E5" s="17" t="s">
        <v>102</v>
      </c>
    </row>
    <row r="6" spans="1:8" ht="19.5" thickBot="1">
      <c r="A6" s="16" t="str">
        <f t="shared" si="0"/>
        <v>TLP1733 - Crosscall  Spider X-1</v>
      </c>
      <c r="B6" s="15" t="s">
        <v>70</v>
      </c>
      <c r="C6" s="5">
        <v>1</v>
      </c>
      <c r="D6" s="5">
        <f>C6-(COUNTIF(Avril!$N$5:$N$75,'Base Avril'!E6))</f>
        <v>1</v>
      </c>
      <c r="E6" s="18" t="s">
        <v>103</v>
      </c>
    </row>
    <row r="7" spans="1:8" ht="19.5" thickBot="1">
      <c r="A7" s="16" t="str">
        <f t="shared" si="0"/>
        <v>TLP1734 - Crosscall  Spider X-1</v>
      </c>
      <c r="B7" s="14" t="s">
        <v>71</v>
      </c>
      <c r="C7" s="5">
        <v>1</v>
      </c>
      <c r="D7" s="5">
        <f>C7-(COUNTIF(Avril!$N$5:$N$75,'Base Avril'!E7))</f>
        <v>1</v>
      </c>
      <c r="E7" s="17" t="s">
        <v>104</v>
      </c>
    </row>
    <row r="8" spans="1:8" ht="19.5" thickBot="1">
      <c r="A8" s="16" t="str">
        <f t="shared" si="0"/>
        <v>TLP1735 - Crosscall  Spider X-1</v>
      </c>
      <c r="B8" s="15" t="s">
        <v>72</v>
      </c>
      <c r="C8" s="5">
        <v>1</v>
      </c>
      <c r="D8" s="5">
        <f>C8-(COUNTIF(Avril!$N$5:$N$75,'Base Avril'!E8))</f>
        <v>1</v>
      </c>
      <c r="E8" s="18" t="s">
        <v>105</v>
      </c>
    </row>
    <row r="9" spans="1:8" ht="19.5" thickBot="1">
      <c r="A9" s="16" t="str">
        <f t="shared" si="0"/>
        <v>TLP1736 - Crosscall  Spider X-1</v>
      </c>
      <c r="B9" s="14" t="s">
        <v>73</v>
      </c>
      <c r="C9" s="5">
        <v>1</v>
      </c>
      <c r="D9" s="5">
        <f>C9-(COUNTIF(Avril!$N$5:$N$75,'Base Avril'!E9))</f>
        <v>1</v>
      </c>
      <c r="E9" s="17" t="s">
        <v>106</v>
      </c>
    </row>
    <row r="10" spans="1:8" ht="19.5" thickBot="1">
      <c r="A10" s="16" t="str">
        <f t="shared" si="0"/>
        <v xml:space="preserve"> </v>
      </c>
      <c r="B10" s="15" t="s">
        <v>74</v>
      </c>
      <c r="C10" s="5">
        <v>1</v>
      </c>
      <c r="D10" s="5">
        <f>C10-(COUNTIF(Avril!$N$5:$N$75,'Base Avril'!E10))</f>
        <v>0</v>
      </c>
      <c r="E10" s="18" t="s">
        <v>107</v>
      </c>
    </row>
    <row r="11" spans="1:8" ht="19.5" thickBot="1">
      <c r="A11" s="16" t="str">
        <f t="shared" si="0"/>
        <v>TLP1862 - Mission Sensible</v>
      </c>
      <c r="B11" s="13" t="s">
        <v>75</v>
      </c>
      <c r="C11" s="5">
        <v>1</v>
      </c>
      <c r="D11" s="5">
        <f>C11-(COUNTIF(Avril!$N$5:$N$75,'Base Avril'!E11))</f>
        <v>1</v>
      </c>
      <c r="E11" s="19" t="s">
        <v>108</v>
      </c>
    </row>
    <row r="12" spans="1:8" ht="19.5" thickBot="1">
      <c r="A12" s="16" t="str">
        <f t="shared" si="0"/>
        <v>TLP1866 - Mission Sensible</v>
      </c>
      <c r="B12" s="13" t="s">
        <v>76</v>
      </c>
      <c r="C12" s="5">
        <v>1</v>
      </c>
      <c r="D12" s="5">
        <f>C12-(COUNTIF(Avril!$N$5:$N$75,'Base Avril'!E12))</f>
        <v>1</v>
      </c>
      <c r="E12" s="19" t="s">
        <v>109</v>
      </c>
    </row>
    <row r="13" spans="1:8" ht="19.5" thickBot="1">
      <c r="A13" s="16" t="str">
        <f t="shared" si="0"/>
        <v>TLP1872 - Mission Sensible</v>
      </c>
      <c r="B13" s="13" t="s">
        <v>77</v>
      </c>
      <c r="C13" s="5">
        <v>1</v>
      </c>
      <c r="D13" s="5">
        <f>C13-(COUNTIF(Avril!$N$5:$N$75,'Base Avril'!E13))</f>
        <v>1</v>
      </c>
      <c r="E13" s="19" t="s">
        <v>110</v>
      </c>
    </row>
    <row r="14" spans="1:8" ht="19.5" thickBot="1">
      <c r="A14" s="16" t="str">
        <f t="shared" si="0"/>
        <v>TLP1878 - iPhone 7 - 10GB Data</v>
      </c>
      <c r="B14" s="14" t="s">
        <v>79</v>
      </c>
      <c r="C14" s="5">
        <v>1</v>
      </c>
      <c r="D14" s="5">
        <f>C14-(COUNTIF(Avril!$N$5:$N$75,'Base Avril'!E14))</f>
        <v>1</v>
      </c>
      <c r="E14" s="17" t="s">
        <v>111</v>
      </c>
    </row>
    <row r="15" spans="1:8" ht="19.5" thickBot="1">
      <c r="A15" s="16" t="str">
        <f t="shared" si="0"/>
        <v>TLP1894 - Mission Sensible</v>
      </c>
      <c r="B15" s="13" t="s">
        <v>80</v>
      </c>
      <c r="C15" s="5">
        <v>1</v>
      </c>
      <c r="D15" s="5">
        <f>C15-(COUNTIF(Avril!$N$5:$N$75,'Base Avril'!E15))</f>
        <v>1</v>
      </c>
      <c r="E15" s="19" t="s">
        <v>112</v>
      </c>
    </row>
    <row r="16" spans="1:8" ht="19.5" thickBot="1">
      <c r="A16" s="16" t="str">
        <f t="shared" si="0"/>
        <v>TLP1903 - Mission Sensible</v>
      </c>
      <c r="B16" s="13" t="s">
        <v>81</v>
      </c>
      <c r="C16" s="5">
        <v>1</v>
      </c>
      <c r="D16" s="5">
        <f>C16-(COUNTIF(Avril!$N$5:$N$75,'Base Avril'!E16))</f>
        <v>1</v>
      </c>
      <c r="E16" s="19" t="s">
        <v>113</v>
      </c>
    </row>
    <row r="17" spans="1:5" ht="19.5" thickBot="1">
      <c r="A17" s="16" t="str">
        <f t="shared" si="0"/>
        <v>TLP1904 - Mission Sensible</v>
      </c>
      <c r="B17" s="13" t="s">
        <v>83</v>
      </c>
      <c r="C17" s="5">
        <v>1</v>
      </c>
      <c r="D17" s="5">
        <f>C17-(COUNTIF(Avril!$N$5:$N$75,'Base Avril'!E17))</f>
        <v>1</v>
      </c>
      <c r="E17" s="19" t="s">
        <v>114</v>
      </c>
    </row>
    <row r="18" spans="1:5" ht="19.5" thickBot="1">
      <c r="A18" s="16" t="str">
        <f t="shared" si="0"/>
        <v>TLP2181 - Crosscall  Spider X-5</v>
      </c>
      <c r="B18" s="14" t="s">
        <v>85</v>
      </c>
      <c r="C18" s="5">
        <v>1</v>
      </c>
      <c r="D18" s="5">
        <f>C18-(COUNTIF(Avril!$N$5:$N$75,'Base Avril'!E18))</f>
        <v>1</v>
      </c>
      <c r="E18" s="17" t="s">
        <v>115</v>
      </c>
    </row>
    <row r="19" spans="1:5" ht="19.5" thickBot="1">
      <c r="A19" s="16" t="str">
        <f t="shared" si="0"/>
        <v>TLP2183 - Crosscall  Spider X-5</v>
      </c>
      <c r="B19" s="15" t="s">
        <v>87</v>
      </c>
      <c r="C19" s="5">
        <v>1</v>
      </c>
      <c r="D19" s="5">
        <f>C19-(COUNTIF(Avril!$N$5:$N$75,'Base Avril'!E19))</f>
        <v>1</v>
      </c>
      <c r="E19" s="18" t="s">
        <v>116</v>
      </c>
    </row>
    <row r="20" spans="1:5" ht="19.5" thickBot="1">
      <c r="A20" s="16" t="str">
        <f t="shared" si="0"/>
        <v>TLP2184 - Crosscall  Spider X-5</v>
      </c>
      <c r="B20" s="14" t="s">
        <v>89</v>
      </c>
      <c r="C20" s="5">
        <v>1</v>
      </c>
      <c r="D20" s="5">
        <f>C20-(COUNTIF(Avril!$N$5:$N$75,'Base Avril'!E20))</f>
        <v>1</v>
      </c>
      <c r="E20" s="17" t="s">
        <v>117</v>
      </c>
    </row>
    <row r="21" spans="1:5" ht="19.5" thickBot="1">
      <c r="A21" s="16" t="str">
        <f t="shared" si="0"/>
        <v>TLP2196 - CROSSCALL CORE M5</v>
      </c>
      <c r="B21" s="14" t="s">
        <v>90</v>
      </c>
      <c r="C21" s="5">
        <v>1</v>
      </c>
      <c r="D21" s="5">
        <f>C21-(COUNTIF(Avril!$N$5:$N$75,'Base Avril'!E21))</f>
        <v>1</v>
      </c>
      <c r="E21" s="17" t="s">
        <v>118</v>
      </c>
    </row>
    <row r="22" spans="1:5" ht="19.5" thickBot="1">
      <c r="A22" s="16" t="str">
        <f t="shared" si="0"/>
        <v>TLP2197 - CROSSCALL CORE M5</v>
      </c>
      <c r="B22" s="14" t="s">
        <v>91</v>
      </c>
      <c r="C22" s="5">
        <v>1</v>
      </c>
      <c r="D22" s="5">
        <f>C22-(COUNTIF(Avril!$N$5:$N$75,'Base Avril'!E22))</f>
        <v>1</v>
      </c>
      <c r="E22" s="17" t="s">
        <v>119</v>
      </c>
    </row>
    <row r="23" spans="1:5" ht="19.5" thickBot="1">
      <c r="E23" s="7" t="s">
        <v>120</v>
      </c>
    </row>
    <row r="24" spans="1:5" ht="19.5" thickBot="1">
      <c r="E24" s="7" t="s">
        <v>121</v>
      </c>
    </row>
  </sheetData>
  <autoFilter ref="A1:E15" xr:uid="{03156433-8788-4196-A79D-9790F236E9A5}">
    <sortState xmlns:xlrd2="http://schemas.microsoft.com/office/spreadsheetml/2017/richdata2" ref="A2:E24">
      <sortCondition ref="B1:B15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F170-2F1A-4425-AA0F-53BAF3B08733}">
  <dimension ref="B1:N20"/>
  <sheetViews>
    <sheetView showGridLines="0" zoomScale="70" zoomScaleNormal="70" workbookViewId="0">
      <selection activeCell="B7" sqref="B7"/>
    </sheetView>
  </sheetViews>
  <sheetFormatPr defaultColWidth="11.42578125" defaultRowHeight="15"/>
  <cols>
    <col min="2" max="2" width="37.42578125" style="84" bestFit="1" customWidth="1"/>
    <col min="3" max="8" width="25.7109375" style="84" customWidth="1"/>
    <col min="9" max="9" width="36.42578125" style="84" bestFit="1" customWidth="1"/>
    <col min="10" max="10" width="36.42578125" style="84" customWidth="1"/>
    <col min="11" max="11" width="31.85546875" style="84" customWidth="1"/>
    <col min="12" max="12" width="23" style="84" bestFit="1" customWidth="1"/>
    <col min="13" max="13" width="20.85546875" style="84" bestFit="1" customWidth="1"/>
    <col min="14" max="14" width="20.140625" style="84" bestFit="1" customWidth="1"/>
  </cols>
  <sheetData>
    <row r="1" spans="2:14">
      <c r="C1"/>
    </row>
    <row r="2" spans="2:14" ht="31.5" customHeight="1">
      <c r="C2" s="4"/>
      <c r="D2" s="101"/>
      <c r="E2" s="101"/>
      <c r="F2" s="101"/>
      <c r="G2" s="101"/>
      <c r="H2" s="101"/>
    </row>
    <row r="3" spans="2:14" ht="28.5">
      <c r="B3" s="286" t="s">
        <v>1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</row>
    <row r="4" spans="2:14" ht="45" customHeight="1">
      <c r="B4" s="102" t="s">
        <v>122</v>
      </c>
      <c r="C4" s="3" t="s">
        <v>123</v>
      </c>
      <c r="D4" s="85" t="s">
        <v>124</v>
      </c>
      <c r="E4" s="85" t="s">
        <v>125</v>
      </c>
      <c r="F4" s="85" t="s">
        <v>126</v>
      </c>
      <c r="G4" s="85" t="s">
        <v>127</v>
      </c>
      <c r="H4" s="85" t="s">
        <v>128</v>
      </c>
      <c r="I4" s="85" t="s">
        <v>129</v>
      </c>
      <c r="J4" s="85" t="s">
        <v>130</v>
      </c>
      <c r="K4" s="85" t="s">
        <v>131</v>
      </c>
      <c r="L4" s="86" t="s">
        <v>132</v>
      </c>
      <c r="M4" s="86" t="s">
        <v>133</v>
      </c>
      <c r="N4" s="87" t="s">
        <v>134</v>
      </c>
    </row>
    <row r="5" spans="2:14" ht="45" customHeight="1">
      <c r="B5" s="106" t="s">
        <v>69</v>
      </c>
      <c r="C5" s="107">
        <f>IFERROR(VLOOKUP(B5, Base_numéro!A:B, 2, FALSE), "")</f>
        <v>612938590</v>
      </c>
      <c r="D5" s="108" t="s">
        <v>135</v>
      </c>
      <c r="E5" s="108" t="s">
        <v>136</v>
      </c>
      <c r="F5" s="112">
        <v>45009</v>
      </c>
      <c r="G5" s="113" t="s">
        <v>137</v>
      </c>
      <c r="H5" s="108"/>
      <c r="I5" s="108"/>
      <c r="J5" s="108" t="s">
        <v>138</v>
      </c>
      <c r="K5" s="108" t="s">
        <v>139</v>
      </c>
      <c r="L5" s="109"/>
      <c r="M5" s="110"/>
      <c r="N5" s="132" t="s">
        <v>102</v>
      </c>
    </row>
    <row r="6" spans="2:14" ht="45" customHeight="1">
      <c r="B6" s="106" t="s">
        <v>74</v>
      </c>
      <c r="C6" s="107">
        <f>IFERROR(VLOOKUP(B6, Base_numéro!A:B, 2, FALSE), "")</f>
        <v>620024461</v>
      </c>
      <c r="D6" s="141" t="s">
        <v>140</v>
      </c>
      <c r="E6" s="141" t="s">
        <v>141</v>
      </c>
      <c r="F6" s="142">
        <v>44159</v>
      </c>
      <c r="G6" s="142">
        <v>44220</v>
      </c>
      <c r="H6" s="141" t="s">
        <v>142</v>
      </c>
      <c r="I6" s="116"/>
      <c r="J6" s="141" t="s">
        <v>143</v>
      </c>
      <c r="K6" s="141" t="s">
        <v>144</v>
      </c>
      <c r="L6" s="117"/>
      <c r="M6" s="118"/>
      <c r="N6" s="132" t="s">
        <v>107</v>
      </c>
    </row>
    <row r="7" spans="2:14" ht="45" customHeight="1">
      <c r="B7" s="103"/>
      <c r="C7" s="82" t="str">
        <f>IFERROR(VLOOKUP(B7, Base_numéro!A:B, 2, FALSE), "")</f>
        <v/>
      </c>
      <c r="D7" s="197"/>
      <c r="E7" s="131"/>
      <c r="F7" s="214"/>
      <c r="G7" s="214"/>
      <c r="H7" s="214"/>
      <c r="I7" s="131"/>
      <c r="J7" s="197"/>
      <c r="K7" s="197"/>
      <c r="L7" s="197"/>
      <c r="M7" s="197"/>
      <c r="N7" s="196"/>
    </row>
    <row r="8" spans="2:14" ht="45" customHeight="1">
      <c r="B8" s="103"/>
      <c r="C8" s="82" t="str">
        <f>IFERROR(VLOOKUP(B8, Base_numéro!A:B, 2, FALSE), "")</f>
        <v/>
      </c>
      <c r="D8" s="197"/>
      <c r="E8" s="197"/>
      <c r="F8" s="214"/>
      <c r="G8" s="214"/>
      <c r="H8" s="214"/>
      <c r="I8" s="131"/>
      <c r="J8" s="230"/>
      <c r="K8" s="197"/>
      <c r="L8" s="197"/>
      <c r="M8" s="197"/>
      <c r="N8" s="138"/>
    </row>
    <row r="9" spans="2:14" ht="45" customHeight="1">
      <c r="B9" s="103"/>
      <c r="C9" s="82" t="str">
        <f>IFERROR(VLOOKUP(B9, Base_numéro!A:B, 2, FALSE), "")</f>
        <v/>
      </c>
      <c r="D9" s="122"/>
      <c r="E9" s="122"/>
      <c r="F9" s="88"/>
      <c r="G9" s="88"/>
      <c r="H9" s="91"/>
      <c r="I9" s="122"/>
      <c r="J9" s="122"/>
      <c r="K9" s="122"/>
      <c r="L9" s="122"/>
      <c r="M9" s="129"/>
      <c r="N9" s="89"/>
    </row>
    <row r="10" spans="2:14" ht="45" customHeight="1">
      <c r="B10" s="104"/>
      <c r="C10" s="82" t="str">
        <f>IFERROR(VLOOKUP(B10, Base_numéro!A:B, 2, FALSE), "")</f>
        <v/>
      </c>
      <c r="D10" s="123"/>
      <c r="E10" s="123"/>
      <c r="F10" s="94"/>
      <c r="G10" s="94"/>
      <c r="H10" s="93"/>
      <c r="I10" s="123"/>
      <c r="J10" s="123"/>
      <c r="K10" s="123"/>
      <c r="L10" s="122"/>
      <c r="M10" s="130"/>
      <c r="N10" s="99"/>
    </row>
    <row r="11" spans="2:14" ht="45" customHeight="1">
      <c r="B11" s="103"/>
      <c r="C11" s="83" t="str">
        <f>IFERROR(VLOOKUP(B11, Base_numéro!A:B, 2, FALSE), "")</f>
        <v/>
      </c>
      <c r="D11" s="122"/>
      <c r="E11" s="122"/>
      <c r="F11" s="88"/>
      <c r="G11" s="88"/>
      <c r="H11" s="91"/>
      <c r="I11" s="122"/>
      <c r="J11" s="122"/>
      <c r="K11" s="122"/>
      <c r="L11" s="122"/>
      <c r="M11" s="129"/>
      <c r="N11" s="100"/>
    </row>
    <row r="12" spans="2:14" ht="45" customHeight="1">
      <c r="B12" s="103"/>
      <c r="C12" s="83" t="str">
        <f>IFERROR(VLOOKUP(B12, Base_numéro!A:B, 2, FALSE), "")</f>
        <v/>
      </c>
      <c r="D12" s="122"/>
      <c r="E12" s="122"/>
      <c r="F12" s="88"/>
      <c r="G12" s="88"/>
      <c r="H12" s="91"/>
      <c r="I12" s="122"/>
      <c r="J12" s="122"/>
      <c r="K12" s="122"/>
      <c r="L12" s="122"/>
      <c r="M12" s="129"/>
      <c r="N12" s="100"/>
    </row>
    <row r="13" spans="2:14" ht="45" customHeight="1">
      <c r="B13" s="103"/>
      <c r="C13" s="83" t="str">
        <f>IFERROR(VLOOKUP(B13, Base_numéro!A:B, 2, FALSE), "")</f>
        <v/>
      </c>
      <c r="D13" s="122"/>
      <c r="E13" s="122"/>
      <c r="F13" s="88"/>
      <c r="G13" s="88"/>
      <c r="H13" s="91"/>
      <c r="I13" s="122"/>
      <c r="J13" s="122"/>
      <c r="K13" s="122"/>
      <c r="L13" s="122"/>
      <c r="M13" s="129"/>
      <c r="N13" s="100"/>
    </row>
    <row r="14" spans="2:14" ht="45" customHeight="1">
      <c r="B14" s="103"/>
      <c r="C14" s="83" t="str">
        <f>IFERROR(VLOOKUP(B14, Base_numéro!A:B, 2, FALSE), "")</f>
        <v/>
      </c>
      <c r="D14" s="122"/>
      <c r="E14" s="122"/>
      <c r="F14" s="88"/>
      <c r="G14" s="88"/>
      <c r="H14" s="91"/>
      <c r="I14" s="122"/>
      <c r="J14" s="122"/>
      <c r="K14" s="122"/>
      <c r="L14" s="122"/>
      <c r="M14" s="129"/>
      <c r="N14" s="100"/>
    </row>
    <row r="15" spans="2:14" ht="45" customHeight="1">
      <c r="B15" s="103"/>
      <c r="C15" s="83" t="str">
        <f>IFERROR(VLOOKUP(B15, Base_numéro!A:B, 2, FALSE), "")</f>
        <v/>
      </c>
      <c r="D15" s="122"/>
      <c r="E15" s="122"/>
      <c r="F15" s="88"/>
      <c r="G15" s="88"/>
      <c r="H15" s="91"/>
      <c r="I15" s="122"/>
      <c r="J15" s="122"/>
      <c r="K15" s="122"/>
      <c r="L15" s="122"/>
      <c r="M15" s="129"/>
      <c r="N15" s="100"/>
    </row>
    <row r="16" spans="2:14" ht="45" customHeight="1">
      <c r="B16" s="103"/>
      <c r="C16" s="83" t="str">
        <f>IFERROR(VLOOKUP(B16, Base_numéro!A:B, 2, FALSE), "")</f>
        <v/>
      </c>
      <c r="D16" s="122"/>
      <c r="E16" s="122"/>
      <c r="F16" s="88"/>
      <c r="G16" s="88"/>
      <c r="H16" s="91"/>
      <c r="I16" s="122"/>
      <c r="J16" s="122"/>
      <c r="K16" s="122"/>
      <c r="L16" s="122"/>
      <c r="M16" s="129"/>
      <c r="N16" s="100"/>
    </row>
    <row r="17" spans="2:14" ht="45" customHeight="1">
      <c r="B17" s="103"/>
      <c r="C17" s="83" t="str">
        <f>IFERROR(VLOOKUP(B17, Base_numéro!A:B, 2, FALSE), "")</f>
        <v/>
      </c>
      <c r="D17" s="122"/>
      <c r="E17" s="122"/>
      <c r="F17" s="88"/>
      <c r="G17" s="88"/>
      <c r="H17" s="91"/>
      <c r="I17" s="122"/>
      <c r="J17" s="122"/>
      <c r="K17" s="122"/>
      <c r="L17" s="122"/>
      <c r="M17" s="129"/>
      <c r="N17" s="100"/>
    </row>
    <row r="18" spans="2:14" ht="45" customHeight="1">
      <c r="B18" s="103"/>
      <c r="C18" s="83" t="str">
        <f>IFERROR(VLOOKUP(B18, Base_numéro!A:B, 2, FALSE), "")</f>
        <v/>
      </c>
      <c r="D18" s="122"/>
      <c r="E18" s="122"/>
      <c r="F18" s="88"/>
      <c r="G18" s="88"/>
      <c r="H18" s="91"/>
      <c r="I18" s="122"/>
      <c r="J18" s="122"/>
      <c r="K18" s="122"/>
      <c r="L18" s="122"/>
      <c r="M18" s="129"/>
      <c r="N18" s="100"/>
    </row>
    <row r="19" spans="2:14" ht="45" customHeight="1">
      <c r="B19" s="103"/>
      <c r="C19" s="83" t="str">
        <f>IFERROR(VLOOKUP(B19, Base_numéro!A:B, 2, FALSE), "")</f>
        <v/>
      </c>
      <c r="D19" s="122"/>
      <c r="E19" s="122"/>
      <c r="F19" s="88"/>
      <c r="G19" s="88"/>
      <c r="H19" s="91"/>
      <c r="I19" s="122"/>
      <c r="J19" s="122"/>
      <c r="K19" s="122"/>
      <c r="L19" s="122"/>
      <c r="M19" s="129"/>
      <c r="N19" s="100"/>
    </row>
    <row r="20" spans="2:14" ht="45" customHeight="1">
      <c r="B20" s="103"/>
      <c r="C20" s="83" t="str">
        <f>IFERROR(VLOOKUP(B20, Base_numéro!A:B, 2, FALSE), "")</f>
        <v/>
      </c>
      <c r="D20" s="122"/>
      <c r="E20" s="122"/>
      <c r="F20" s="88"/>
      <c r="G20" s="88"/>
      <c r="H20" s="91"/>
      <c r="I20" s="122"/>
      <c r="J20" s="122"/>
      <c r="K20" s="122"/>
      <c r="L20" s="122"/>
      <c r="M20" s="129"/>
      <c r="N20" s="100"/>
    </row>
  </sheetData>
  <sheetProtection algorithmName="SHA-512" hashValue="wUTvgYkAnp0XoG6DOkKn4m+Mt3gI4lj1Al2xCpcB5Du/BzTnakw0UMp4rua5J7OWLuy36asZlVNuCEBwDK9nwQ==" saltValue="PmG5RN16fKf78whMFME0NA==" spinCount="100000" sheet="1" objects="1" scenarios="1" formatCells="0" formatColumns="0" formatRows="0" insertRows="0" deleteRows="0" sort="0" autoFilter="0"/>
  <mergeCells count="1">
    <mergeCell ref="B3:N3"/>
  </mergeCells>
  <pageMargins left="0.7" right="0.7" top="0.75" bottom="0.75" header="0.3" footer="0.3"/>
  <pageSetup paperSize="9" orientation="portrait" horizontalDpi="200" verticalDpi="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2B9EE85-F769-479F-9BE2-52C830708A40}">
          <x14:formula1>
            <xm:f>'Base Mars'!$E$2:$E$24</xm:f>
          </x14:formula1>
          <xm:sqref>N7:N20</xm:sqref>
        </x14:dataValidation>
        <x14:dataValidation type="list" allowBlank="1" showInputMessage="1" showErrorMessage="1" xr:uid="{338F3323-3926-4040-9947-1BD9BA20340A}">
          <x14:formula1>
            <xm:f>'Base Mars'!$A$2:$A$22</xm:f>
          </x14:formula1>
          <xm:sqref>B7:B20</xm:sqref>
        </x14:dataValidation>
        <x14:dataValidation type="list" allowBlank="1" showInputMessage="1" showErrorMessage="1" xr:uid="{4A5DE5C9-A7FF-462C-94BE-759349861C55}">
          <x14:formula1>
            <xm:f>'Base Janvier'!$A$2:$A$15</xm:f>
          </x14:formula1>
          <xm:sqref>B1</xm:sqref>
        </x14:dataValidation>
        <x14:dataValidation type="list" allowBlank="1" showInputMessage="1" showErrorMessage="1" xr:uid="{B288D9D2-1F02-4EE9-963B-B458AA57AB61}">
          <x14:formula1>
            <xm:f>'Base Mois'!$A$2:$A$13</xm:f>
          </x14:formula1>
          <xm:sqref>B3</xm:sqref>
        </x14:dataValidation>
        <x14:dataValidation type="list" allowBlank="1" showInputMessage="1" showErrorMessage="1" xr:uid="{38D96769-AC2F-4310-A75A-C72AB5513139}">
          <x14:formula1>
            <xm:f>'Base Janvier'!$E$2:$E$24</xm:f>
          </x14:formula1>
          <xm:sqref>L1:L2 L21:L1048576 N5:N6</xm:sqref>
        </x14:dataValidation>
        <x14:dataValidation type="list" allowBlank="1" showInputMessage="1" showErrorMessage="1" xr:uid="{9EF7954F-90AB-4AC6-9BA8-A6B606EF60D6}">
          <x14:formula1>
            <xm:f>'Base Janvier'!$A$2:$A$22</xm:f>
          </x14:formula1>
          <xm:sqref>B21:B1048576 B5:B6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74ED-3F04-49BD-B639-B61FDBA3F996}">
  <dimension ref="B1:N20"/>
  <sheetViews>
    <sheetView showGridLines="0" topLeftCell="B1" zoomScale="70" zoomScaleNormal="70" workbookViewId="0">
      <selection activeCell="B7" sqref="B7"/>
    </sheetView>
  </sheetViews>
  <sheetFormatPr defaultColWidth="11.42578125" defaultRowHeight="15"/>
  <cols>
    <col min="2" max="2" width="35.42578125" style="84" bestFit="1" customWidth="1"/>
    <col min="3" max="8" width="25.7109375" style="84" customWidth="1"/>
    <col min="9" max="9" width="36.42578125" style="84" bestFit="1" customWidth="1"/>
    <col min="10" max="10" width="36.42578125" style="84" customWidth="1"/>
    <col min="11" max="11" width="31.85546875" style="84" customWidth="1"/>
    <col min="12" max="12" width="23" style="84" bestFit="1" customWidth="1"/>
    <col min="13" max="13" width="20.85546875" style="84" bestFit="1" customWidth="1"/>
    <col min="14" max="14" width="20.140625" style="84" bestFit="1" customWidth="1"/>
  </cols>
  <sheetData>
    <row r="1" spans="2:14">
      <c r="C1"/>
    </row>
    <row r="2" spans="2:14" ht="31.5" customHeight="1">
      <c r="C2" s="4"/>
      <c r="D2" s="101"/>
      <c r="E2" s="101"/>
      <c r="F2" s="101"/>
      <c r="G2" s="101"/>
      <c r="H2" s="101"/>
    </row>
    <row r="3" spans="2:14" ht="28.5">
      <c r="B3" s="286" t="s">
        <v>1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</row>
    <row r="4" spans="2:14" ht="45" customHeight="1">
      <c r="B4" s="102" t="s">
        <v>122</v>
      </c>
      <c r="C4" s="3" t="s">
        <v>123</v>
      </c>
      <c r="D4" s="85" t="s">
        <v>124</v>
      </c>
      <c r="E4" s="85" t="s">
        <v>125</v>
      </c>
      <c r="F4" s="85" t="s">
        <v>126</v>
      </c>
      <c r="G4" s="85" t="s">
        <v>127</v>
      </c>
      <c r="H4" s="85" t="s">
        <v>128</v>
      </c>
      <c r="I4" s="85" t="s">
        <v>129</v>
      </c>
      <c r="J4" s="85" t="s">
        <v>130</v>
      </c>
      <c r="K4" s="85" t="s">
        <v>131</v>
      </c>
      <c r="L4" s="86" t="s">
        <v>132</v>
      </c>
      <c r="M4" s="86" t="s">
        <v>133</v>
      </c>
      <c r="N4" s="87" t="s">
        <v>134</v>
      </c>
    </row>
    <row r="5" spans="2:14" ht="45" customHeight="1">
      <c r="B5" s="106" t="s">
        <v>69</v>
      </c>
      <c r="C5" s="107">
        <f>IFERROR(VLOOKUP(B5, Base_numéro!A:B, 2, FALSE), "")</f>
        <v>612938590</v>
      </c>
      <c r="D5" s="108" t="s">
        <v>135</v>
      </c>
      <c r="E5" s="108" t="s">
        <v>136</v>
      </c>
      <c r="F5" s="112">
        <v>45009</v>
      </c>
      <c r="G5" s="113" t="s">
        <v>137</v>
      </c>
      <c r="H5" s="108"/>
      <c r="I5" s="108"/>
      <c r="J5" s="108" t="s">
        <v>138</v>
      </c>
      <c r="K5" s="108" t="s">
        <v>139</v>
      </c>
      <c r="L5" s="109"/>
      <c r="M5" s="110"/>
      <c r="N5" s="111" t="s">
        <v>102</v>
      </c>
    </row>
    <row r="6" spans="2:14" ht="45" customHeight="1">
      <c r="B6" s="106" t="s">
        <v>74</v>
      </c>
      <c r="C6" s="107">
        <f>IFERROR(VLOOKUP(B6, Base_numéro!A:B, 2, FALSE), "")</f>
        <v>620024461</v>
      </c>
      <c r="D6" s="143" t="s">
        <v>140</v>
      </c>
      <c r="E6" s="143" t="s">
        <v>141</v>
      </c>
      <c r="F6" s="144">
        <v>44159</v>
      </c>
      <c r="G6" s="144">
        <v>44220</v>
      </c>
      <c r="H6" s="143" t="s">
        <v>142</v>
      </c>
      <c r="I6" s="108"/>
      <c r="J6" s="143" t="s">
        <v>143</v>
      </c>
      <c r="K6" s="143" t="s">
        <v>144</v>
      </c>
      <c r="L6" s="109"/>
      <c r="M6" s="110"/>
      <c r="N6" s="111" t="s">
        <v>107</v>
      </c>
    </row>
    <row r="7" spans="2:14" ht="45" customHeight="1">
      <c r="B7" s="103"/>
      <c r="C7" s="82" t="str">
        <f>IFERROR(VLOOKUP(B7, Base_numéro!A:B, 2, FALSE), "")</f>
        <v/>
      </c>
      <c r="D7" s="121"/>
      <c r="E7" s="133"/>
      <c r="F7" s="88"/>
      <c r="G7" s="88"/>
      <c r="H7" s="91"/>
      <c r="I7" s="122"/>
      <c r="J7" s="122"/>
      <c r="K7" s="133"/>
      <c r="L7" s="134"/>
      <c r="M7" s="135"/>
      <c r="N7" s="98"/>
    </row>
    <row r="8" spans="2:14" ht="45" customHeight="1">
      <c r="B8" s="103"/>
      <c r="C8" s="82" t="str">
        <f>IFERROR(VLOOKUP(B8, Base_numéro!A:B, 2, FALSE), "")</f>
        <v/>
      </c>
      <c r="D8" s="122"/>
      <c r="E8" s="122"/>
      <c r="F8" s="88"/>
      <c r="G8" s="88"/>
      <c r="H8" s="91"/>
      <c r="I8" s="122"/>
      <c r="J8" s="122"/>
      <c r="K8" s="122"/>
      <c r="L8" s="122"/>
      <c r="M8" s="129"/>
      <c r="N8" s="89"/>
    </row>
    <row r="9" spans="2:14" ht="45" customHeight="1">
      <c r="B9" s="103"/>
      <c r="C9" s="82" t="str">
        <f>IFERROR(VLOOKUP(B9, Base_numéro!A:B, 2, FALSE), "")</f>
        <v/>
      </c>
      <c r="D9" s="122"/>
      <c r="E9" s="122"/>
      <c r="F9" s="88"/>
      <c r="G9" s="88"/>
      <c r="H9" s="91"/>
      <c r="I9" s="122"/>
      <c r="J9" s="122"/>
      <c r="K9" s="122"/>
      <c r="L9" s="122"/>
      <c r="M9" s="129"/>
      <c r="N9" s="89"/>
    </row>
    <row r="10" spans="2:14" ht="45" customHeight="1">
      <c r="B10" s="104"/>
      <c r="C10" s="82" t="str">
        <f>IFERROR(VLOOKUP(B10, Base_numéro!A:B, 2, FALSE), "")</f>
        <v/>
      </c>
      <c r="D10" s="123"/>
      <c r="E10" s="123"/>
      <c r="F10" s="94"/>
      <c r="G10" s="94"/>
      <c r="H10" s="93"/>
      <c r="I10" s="123"/>
      <c r="J10" s="123"/>
      <c r="K10" s="123"/>
      <c r="L10" s="122"/>
      <c r="M10" s="130"/>
      <c r="N10" s="99"/>
    </row>
    <row r="11" spans="2:14" ht="45" customHeight="1">
      <c r="B11" s="103"/>
      <c r="C11" s="83" t="str">
        <f>IFERROR(VLOOKUP(B11, Base_numéro!A:B, 2, FALSE), "")</f>
        <v/>
      </c>
      <c r="D11" s="122"/>
      <c r="E11" s="122"/>
      <c r="F11" s="88"/>
      <c r="G11" s="88"/>
      <c r="H11" s="91"/>
      <c r="I11" s="122"/>
      <c r="J11" s="122"/>
      <c r="K11" s="122"/>
      <c r="L11" s="122"/>
      <c r="M11" s="129"/>
      <c r="N11" s="100"/>
    </row>
    <row r="12" spans="2:14" ht="45" customHeight="1">
      <c r="B12" s="103"/>
      <c r="C12" s="83" t="str">
        <f>IFERROR(VLOOKUP(B12, Base_numéro!A:B, 2, FALSE), "")</f>
        <v/>
      </c>
      <c r="D12" s="122"/>
      <c r="E12" s="122"/>
      <c r="F12" s="88"/>
      <c r="G12" s="88"/>
      <c r="H12" s="91"/>
      <c r="I12" s="122"/>
      <c r="J12" s="122"/>
      <c r="K12" s="122"/>
      <c r="L12" s="122"/>
      <c r="M12" s="129"/>
      <c r="N12" s="100"/>
    </row>
    <row r="13" spans="2:14" ht="45" customHeight="1">
      <c r="B13" s="103"/>
      <c r="C13" s="83" t="str">
        <f>IFERROR(VLOOKUP(B13, Base_numéro!A:B, 2, FALSE), "")</f>
        <v/>
      </c>
      <c r="D13" s="122"/>
      <c r="E13" s="122"/>
      <c r="F13" s="88"/>
      <c r="G13" s="88"/>
      <c r="H13" s="91"/>
      <c r="I13" s="122"/>
      <c r="J13" s="122"/>
      <c r="K13" s="122"/>
      <c r="L13" s="122"/>
      <c r="M13" s="129"/>
      <c r="N13" s="100"/>
    </row>
    <row r="14" spans="2:14" ht="45" customHeight="1">
      <c r="B14" s="103"/>
      <c r="C14" s="83" t="str">
        <f>IFERROR(VLOOKUP(B14, Base_numéro!A:B, 2, FALSE), "")</f>
        <v/>
      </c>
      <c r="D14" s="122"/>
      <c r="E14" s="122"/>
      <c r="F14" s="88"/>
      <c r="G14" s="88"/>
      <c r="H14" s="91"/>
      <c r="I14" s="122"/>
      <c r="J14" s="122"/>
      <c r="K14" s="122"/>
      <c r="L14" s="122"/>
      <c r="M14" s="129"/>
      <c r="N14" s="100"/>
    </row>
    <row r="15" spans="2:14" ht="45" customHeight="1">
      <c r="B15" s="103"/>
      <c r="C15" s="83" t="str">
        <f>IFERROR(VLOOKUP(B15, Base_numéro!A:B, 2, FALSE), "")</f>
        <v/>
      </c>
      <c r="D15" s="122"/>
      <c r="E15" s="122"/>
      <c r="F15" s="88"/>
      <c r="G15" s="88"/>
      <c r="H15" s="91"/>
      <c r="I15" s="122"/>
      <c r="J15" s="122"/>
      <c r="K15" s="122"/>
      <c r="L15" s="122"/>
      <c r="M15" s="129"/>
      <c r="N15" s="100"/>
    </row>
    <row r="16" spans="2:14" ht="45" customHeight="1">
      <c r="B16" s="103"/>
      <c r="C16" s="83" t="str">
        <f>IFERROR(VLOOKUP(B16, Base_numéro!A:B, 2, FALSE), "")</f>
        <v/>
      </c>
      <c r="D16" s="122"/>
      <c r="E16" s="122"/>
      <c r="F16" s="88"/>
      <c r="G16" s="88"/>
      <c r="H16" s="91"/>
      <c r="I16" s="122"/>
      <c r="J16" s="122"/>
      <c r="K16" s="122"/>
      <c r="L16" s="122"/>
      <c r="M16" s="129"/>
      <c r="N16" s="100"/>
    </row>
    <row r="17" spans="2:14" ht="45" customHeight="1">
      <c r="B17" s="103"/>
      <c r="C17" s="83" t="str">
        <f>IFERROR(VLOOKUP(B17, Base_numéro!A:B, 2, FALSE), "")</f>
        <v/>
      </c>
      <c r="D17" s="122"/>
      <c r="E17" s="122"/>
      <c r="F17" s="88"/>
      <c r="G17" s="88"/>
      <c r="H17" s="91"/>
      <c r="I17" s="122"/>
      <c r="J17" s="122"/>
      <c r="K17" s="122"/>
      <c r="L17" s="122"/>
      <c r="M17" s="129"/>
      <c r="N17" s="100"/>
    </row>
    <row r="18" spans="2:14" ht="45" customHeight="1">
      <c r="B18" s="103"/>
      <c r="C18" s="83" t="str">
        <f>IFERROR(VLOOKUP(B18, Base_numéro!A:B, 2, FALSE), "")</f>
        <v/>
      </c>
      <c r="D18" s="122"/>
      <c r="E18" s="122"/>
      <c r="F18" s="88"/>
      <c r="G18" s="88"/>
      <c r="H18" s="91"/>
      <c r="I18" s="122"/>
      <c r="J18" s="122"/>
      <c r="K18" s="122"/>
      <c r="L18" s="122"/>
      <c r="M18" s="129"/>
      <c r="N18" s="100"/>
    </row>
    <row r="19" spans="2:14" ht="45" customHeight="1">
      <c r="B19" s="103"/>
      <c r="C19" s="83" t="str">
        <f>IFERROR(VLOOKUP(B19, Base_numéro!A:B, 2, FALSE), "")</f>
        <v/>
      </c>
      <c r="D19" s="122"/>
      <c r="E19" s="122"/>
      <c r="F19" s="88"/>
      <c r="G19" s="88"/>
      <c r="H19" s="91"/>
      <c r="I19" s="122"/>
      <c r="J19" s="122"/>
      <c r="K19" s="122"/>
      <c r="L19" s="122"/>
      <c r="M19" s="129"/>
      <c r="N19" s="100"/>
    </row>
    <row r="20" spans="2:14" ht="45" customHeight="1">
      <c r="B20" s="103"/>
      <c r="C20" s="83" t="str">
        <f>IFERROR(VLOOKUP(B20, Base_numéro!A:B, 2, FALSE), "")</f>
        <v/>
      </c>
      <c r="D20" s="122"/>
      <c r="E20" s="122"/>
      <c r="F20" s="88"/>
      <c r="G20" s="88"/>
      <c r="H20" s="91"/>
      <c r="I20" s="122"/>
      <c r="J20" s="122"/>
      <c r="K20" s="122"/>
      <c r="L20" s="122"/>
      <c r="M20" s="129"/>
      <c r="N20" s="100"/>
    </row>
  </sheetData>
  <sheetProtection algorithmName="SHA-512" hashValue="9drP2FFZnL6VA+GVYtvc0vhIZVmg30iAiFcbHGgQMcz/OtJqG7isxIdTUHZnQprBKDtzCNFyFPW1BrG64HlQmQ==" saltValue="6HAt9YFD++XI05uK4ofMVg==" spinCount="100000" sheet="1" objects="1" scenarios="1" formatCells="0" formatColumns="0" formatRows="0" insertRows="0" deleteRows="0" sort="0" autoFilter="0"/>
  <mergeCells count="1">
    <mergeCell ref="B3:N3"/>
  </mergeCells>
  <pageMargins left="0.7" right="0.7" top="0.75" bottom="0.75" header="0.3" footer="0.3"/>
  <pageSetup paperSize="9" orientation="portrait" horizontalDpi="200" verticalDpi="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556C63C-6396-4E5F-9D45-9EEF4F969EA0}">
          <x14:formula1>
            <xm:f>'Base Janvier'!$A$2:$A$22</xm:f>
          </x14:formula1>
          <xm:sqref>B21:B1048576 B5:B6</xm:sqref>
        </x14:dataValidation>
        <x14:dataValidation type="list" allowBlank="1" showInputMessage="1" showErrorMessage="1" xr:uid="{954934D6-1B70-458D-8DE1-4D889EE5166E}">
          <x14:formula1>
            <xm:f>'Base Janvier'!$E$2:$E$24</xm:f>
          </x14:formula1>
          <xm:sqref>L1:L2 L21:L1048576 N5:N6</xm:sqref>
        </x14:dataValidation>
        <x14:dataValidation type="list" allowBlank="1" showInputMessage="1" showErrorMessage="1" xr:uid="{FB2F1B71-E029-40F2-B1FD-2F69E82091DC}">
          <x14:formula1>
            <xm:f>'Base Mois'!$A$2:$A$13</xm:f>
          </x14:formula1>
          <xm:sqref>B3</xm:sqref>
        </x14:dataValidation>
        <x14:dataValidation type="list" allowBlank="1" showInputMessage="1" showErrorMessage="1" xr:uid="{5B55C7D1-B7A1-4941-90D8-AEC6B20B07FC}">
          <x14:formula1>
            <xm:f>'Base Janvier'!$A$2:$A$15</xm:f>
          </x14:formula1>
          <xm:sqref>B1</xm:sqref>
        </x14:dataValidation>
        <x14:dataValidation type="list" allowBlank="1" showInputMessage="1" showErrorMessage="1" xr:uid="{0152EE8B-D6C1-45B7-B47D-DC28E744D1CB}">
          <x14:formula1>
            <xm:f>'Base Avril'!$A$2:$A$22</xm:f>
          </x14:formula1>
          <xm:sqref>B7:B20</xm:sqref>
        </x14:dataValidation>
        <x14:dataValidation type="list" allowBlank="1" showInputMessage="1" showErrorMessage="1" xr:uid="{09C5A477-2167-44C6-B669-208CEDB3CD48}">
          <x14:formula1>
            <xm:f>'Base Avril'!$E$2:$E$24</xm:f>
          </x14:formula1>
          <xm:sqref>N7:N20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1AE4-4D17-4443-B843-ABE8D83B6B49}">
  <dimension ref="A1:H24"/>
  <sheetViews>
    <sheetView zoomScaleNormal="100" workbookViewId="0">
      <selection activeCell="E15" sqref="E15"/>
    </sheetView>
  </sheetViews>
  <sheetFormatPr defaultColWidth="11.42578125" defaultRowHeight="15"/>
  <cols>
    <col min="1" max="1" width="36" bestFit="1" customWidth="1"/>
    <col min="2" max="2" width="42.5703125" bestFit="1" customWidth="1"/>
    <col min="4" max="4" width="14.85546875" customWidth="1"/>
    <col min="5" max="5" width="24.7109375" customWidth="1"/>
  </cols>
  <sheetData>
    <row r="1" spans="1:8" ht="30.75" thickBot="1">
      <c r="A1" s="6" t="s">
        <v>94</v>
      </c>
      <c r="B1" s="12" t="s">
        <v>95</v>
      </c>
      <c r="C1" s="2" t="s">
        <v>96</v>
      </c>
      <c r="D1" s="2" t="s">
        <v>97</v>
      </c>
      <c r="E1" s="6" t="s">
        <v>98</v>
      </c>
    </row>
    <row r="2" spans="1:8" ht="19.5" thickBot="1">
      <c r="A2" s="16" t="str">
        <f t="shared" ref="A2:A22" si="0">IF(D2&gt;0,B2," ")</f>
        <v>BEW170 - HUAWEI Mobile 4G</v>
      </c>
      <c r="B2" s="14" t="s">
        <v>65</v>
      </c>
      <c r="C2" s="5">
        <v>1</v>
      </c>
      <c r="D2" s="5">
        <f>C2-(COUNTIF(Mai!$N$5:$N$75,'Base Mai'!E2))</f>
        <v>1</v>
      </c>
      <c r="E2" s="17" t="s">
        <v>99</v>
      </c>
    </row>
    <row r="3" spans="1:8" ht="19.5" thickBot="1">
      <c r="A3" s="16" t="str">
        <f t="shared" si="0"/>
        <v>BEW172 - HUAWEI Mobile 4G</v>
      </c>
      <c r="B3" s="15" t="s">
        <v>67</v>
      </c>
      <c r="C3" s="5">
        <v>1</v>
      </c>
      <c r="D3" s="5">
        <f>C3-(COUNTIF(Mai!$N$5:$N$75,'Base Mai'!E3))</f>
        <v>1</v>
      </c>
      <c r="E3" s="18" t="s">
        <v>100</v>
      </c>
      <c r="H3" s="1"/>
    </row>
    <row r="4" spans="1:8" ht="19.5" thickBot="1">
      <c r="A4" s="16" t="str">
        <f t="shared" si="0"/>
        <v>TLP1462 - iPhone 5S</v>
      </c>
      <c r="B4" s="15" t="s">
        <v>68</v>
      </c>
      <c r="C4" s="5">
        <v>1</v>
      </c>
      <c r="D4" s="5">
        <f>C4-(COUNTIF(Mai!$N$5:$N$75,'Base Mai'!E4))</f>
        <v>1</v>
      </c>
      <c r="E4" s="18" t="s">
        <v>101</v>
      </c>
    </row>
    <row r="5" spans="1:8" ht="19.5" thickBot="1">
      <c r="A5" s="16" t="str">
        <f t="shared" si="0"/>
        <v xml:space="preserve"> </v>
      </c>
      <c r="B5" s="14" t="s">
        <v>69</v>
      </c>
      <c r="C5" s="5">
        <v>1</v>
      </c>
      <c r="D5" s="5">
        <f>C5-(COUNTIF(Mai!$N$5:$N$75,'Base Mai'!E5))</f>
        <v>0</v>
      </c>
      <c r="E5" s="17" t="s">
        <v>102</v>
      </c>
    </row>
    <row r="6" spans="1:8" ht="19.5" thickBot="1">
      <c r="A6" s="16" t="str">
        <f t="shared" si="0"/>
        <v>TLP1733 - Crosscall  Spider X-1</v>
      </c>
      <c r="B6" s="15" t="s">
        <v>70</v>
      </c>
      <c r="C6" s="5">
        <v>1</v>
      </c>
      <c r="D6" s="5">
        <f>C6-(COUNTIF(Mai!$N$5:$N$75,'Base Mai'!E6))</f>
        <v>1</v>
      </c>
      <c r="E6" s="18" t="s">
        <v>103</v>
      </c>
    </row>
    <row r="7" spans="1:8" ht="19.5" thickBot="1">
      <c r="A7" s="16" t="str">
        <f t="shared" si="0"/>
        <v>TLP1734 - Crosscall  Spider X-1</v>
      </c>
      <c r="B7" s="14" t="s">
        <v>71</v>
      </c>
      <c r="C7" s="5">
        <v>1</v>
      </c>
      <c r="D7" s="5">
        <f>C7-(COUNTIF(Mai!$N$5:$N$75,'Base Mai'!E7))</f>
        <v>1</v>
      </c>
      <c r="E7" s="17" t="s">
        <v>104</v>
      </c>
    </row>
    <row r="8" spans="1:8" ht="19.5" thickBot="1">
      <c r="A8" s="16" t="str">
        <f t="shared" si="0"/>
        <v>TLP1735 - Crosscall  Spider X-1</v>
      </c>
      <c r="B8" s="15" t="s">
        <v>72</v>
      </c>
      <c r="C8" s="5">
        <v>1</v>
      </c>
      <c r="D8" s="5">
        <f>C8-(COUNTIF(Mai!$N$5:$N$75,'Base Mai'!E8))</f>
        <v>1</v>
      </c>
      <c r="E8" s="18" t="s">
        <v>105</v>
      </c>
    </row>
    <row r="9" spans="1:8" ht="19.5" thickBot="1">
      <c r="A9" s="16" t="str">
        <f t="shared" si="0"/>
        <v>TLP1736 - Crosscall  Spider X-1</v>
      </c>
      <c r="B9" s="14" t="s">
        <v>73</v>
      </c>
      <c r="C9" s="5">
        <v>1</v>
      </c>
      <c r="D9" s="5">
        <f>C9-(COUNTIF(Mai!$N$5:$N$75,'Base Mai'!E9))</f>
        <v>1</v>
      </c>
      <c r="E9" s="17" t="s">
        <v>106</v>
      </c>
    </row>
    <row r="10" spans="1:8" ht="19.5" thickBot="1">
      <c r="A10" s="16" t="str">
        <f t="shared" si="0"/>
        <v xml:space="preserve"> </v>
      </c>
      <c r="B10" s="15" t="s">
        <v>74</v>
      </c>
      <c r="C10" s="5">
        <v>1</v>
      </c>
      <c r="D10" s="5">
        <f>C10-(COUNTIF(Mai!$N$5:$N$75,'Base Mai'!E10))</f>
        <v>0</v>
      </c>
      <c r="E10" s="18" t="s">
        <v>107</v>
      </c>
    </row>
    <row r="11" spans="1:8" ht="19.5" thickBot="1">
      <c r="A11" s="16" t="str">
        <f t="shared" si="0"/>
        <v>TLP1862 - Mission Sensible</v>
      </c>
      <c r="B11" s="13" t="s">
        <v>75</v>
      </c>
      <c r="C11" s="5">
        <v>1</v>
      </c>
      <c r="D11" s="5">
        <f>C11-(COUNTIF(Mai!$N$5:$N$75,'Base Mai'!E11))</f>
        <v>1</v>
      </c>
      <c r="E11" s="19" t="s">
        <v>108</v>
      </c>
    </row>
    <row r="12" spans="1:8" ht="19.5" thickBot="1">
      <c r="A12" s="16" t="str">
        <f t="shared" si="0"/>
        <v>TLP1866 - Mission Sensible</v>
      </c>
      <c r="B12" s="13" t="s">
        <v>76</v>
      </c>
      <c r="C12" s="5">
        <v>1</v>
      </c>
      <c r="D12" s="5">
        <f>C12-(COUNTIF(Mai!$N$5:$N$75,'Base Mai'!E12))</f>
        <v>1</v>
      </c>
      <c r="E12" s="19" t="s">
        <v>109</v>
      </c>
    </row>
    <row r="13" spans="1:8" ht="19.5" thickBot="1">
      <c r="A13" s="16" t="str">
        <f t="shared" si="0"/>
        <v>TLP1872 - Mission Sensible</v>
      </c>
      <c r="B13" s="13" t="s">
        <v>77</v>
      </c>
      <c r="C13" s="5">
        <v>1</v>
      </c>
      <c r="D13" s="5">
        <f>C13-(COUNTIF(Mai!$N$5:$N$75,'Base Mai'!E13))</f>
        <v>1</v>
      </c>
      <c r="E13" s="19" t="s">
        <v>110</v>
      </c>
    </row>
    <row r="14" spans="1:8" ht="19.5" thickBot="1">
      <c r="A14" s="16" t="str">
        <f t="shared" si="0"/>
        <v>TLP1878 - iPhone 7 - 10GB Data</v>
      </c>
      <c r="B14" s="14" t="s">
        <v>79</v>
      </c>
      <c r="C14" s="5">
        <v>1</v>
      </c>
      <c r="D14" s="5">
        <f>C14-(COUNTIF(Mai!$N$5:$N$75,'Base Mai'!E14))</f>
        <v>1</v>
      </c>
      <c r="E14" s="17" t="s">
        <v>111</v>
      </c>
    </row>
    <row r="15" spans="1:8" ht="19.5" thickBot="1">
      <c r="A15" s="16" t="str">
        <f t="shared" si="0"/>
        <v>TLP1894 - Mission Sensible</v>
      </c>
      <c r="B15" s="13" t="s">
        <v>80</v>
      </c>
      <c r="C15" s="5">
        <v>1</v>
      </c>
      <c r="D15" s="5">
        <f>C15-(COUNTIF(Mai!$N$5:$N$75,'Base Mai'!E15))</f>
        <v>1</v>
      </c>
      <c r="E15" s="19" t="s">
        <v>112</v>
      </c>
    </row>
    <row r="16" spans="1:8" ht="19.5" thickBot="1">
      <c r="A16" s="16" t="str">
        <f t="shared" si="0"/>
        <v>TLP1903 - Mission Sensible</v>
      </c>
      <c r="B16" s="13" t="s">
        <v>81</v>
      </c>
      <c r="C16" s="5">
        <v>1</v>
      </c>
      <c r="D16" s="5">
        <f>C16-(COUNTIF(Mai!$N$5:$N$75,'Base Mai'!E16))</f>
        <v>1</v>
      </c>
      <c r="E16" s="19" t="s">
        <v>113</v>
      </c>
    </row>
    <row r="17" spans="1:5" ht="19.5" thickBot="1">
      <c r="A17" s="16" t="str">
        <f t="shared" si="0"/>
        <v>TLP1904 - Mission Sensible</v>
      </c>
      <c r="B17" s="13" t="s">
        <v>83</v>
      </c>
      <c r="C17" s="5">
        <v>1</v>
      </c>
      <c r="D17" s="5">
        <f>C17-(COUNTIF(Mai!$N$5:$N$75,'Base Mai'!E17))</f>
        <v>1</v>
      </c>
      <c r="E17" s="19" t="s">
        <v>114</v>
      </c>
    </row>
    <row r="18" spans="1:5" ht="19.5" thickBot="1">
      <c r="A18" s="16" t="str">
        <f t="shared" si="0"/>
        <v>TLP2181 - Crosscall  Spider X-5</v>
      </c>
      <c r="B18" s="14" t="s">
        <v>85</v>
      </c>
      <c r="C18" s="5">
        <v>1</v>
      </c>
      <c r="D18" s="5">
        <f>C18-(COUNTIF(Mai!$N$5:$N$75,'Base Mai'!E18))</f>
        <v>1</v>
      </c>
      <c r="E18" s="17" t="s">
        <v>115</v>
      </c>
    </row>
    <row r="19" spans="1:5" ht="19.5" thickBot="1">
      <c r="A19" s="16" t="str">
        <f t="shared" si="0"/>
        <v>TLP2183 - Crosscall  Spider X-5</v>
      </c>
      <c r="B19" s="15" t="s">
        <v>87</v>
      </c>
      <c r="C19" s="5">
        <v>1</v>
      </c>
      <c r="D19" s="5">
        <f>C19-(COUNTIF(Mai!$N$5:$N$75,'Base Mai'!E19))</f>
        <v>1</v>
      </c>
      <c r="E19" s="18" t="s">
        <v>116</v>
      </c>
    </row>
    <row r="20" spans="1:5" ht="19.5" thickBot="1">
      <c r="A20" s="16" t="str">
        <f t="shared" si="0"/>
        <v>TLP2184 - Crosscall  Spider X-5</v>
      </c>
      <c r="B20" s="14" t="s">
        <v>89</v>
      </c>
      <c r="C20" s="5">
        <v>1</v>
      </c>
      <c r="D20" s="5">
        <f>C20-(COUNTIF(Mai!$N$5:$N$75,'Base Mai'!E20))</f>
        <v>1</v>
      </c>
      <c r="E20" s="17" t="s">
        <v>117</v>
      </c>
    </row>
    <row r="21" spans="1:5" ht="19.5" thickBot="1">
      <c r="A21" s="16" t="str">
        <f t="shared" si="0"/>
        <v>TLP2196 - CROSSCALL CORE M5</v>
      </c>
      <c r="B21" s="14" t="s">
        <v>90</v>
      </c>
      <c r="C21" s="5">
        <v>1</v>
      </c>
      <c r="D21" s="5">
        <f>C21-(COUNTIF(Mai!$N$5:$N$75,'Base Mai'!E21))</f>
        <v>1</v>
      </c>
      <c r="E21" s="17" t="s">
        <v>118</v>
      </c>
    </row>
    <row r="22" spans="1:5" ht="19.5" thickBot="1">
      <c r="A22" s="16" t="str">
        <f t="shared" si="0"/>
        <v>TLP2197 - CROSSCALL CORE M5</v>
      </c>
      <c r="B22" s="14" t="s">
        <v>91</v>
      </c>
      <c r="C22" s="5">
        <v>1</v>
      </c>
      <c r="D22" s="5">
        <f>C22-(COUNTIF(Mai!$N$5:$N$75,'Base Mai'!E22))</f>
        <v>1</v>
      </c>
      <c r="E22" s="17" t="s">
        <v>119</v>
      </c>
    </row>
    <row r="23" spans="1:5" ht="19.5" thickBot="1">
      <c r="E23" s="7" t="s">
        <v>120</v>
      </c>
    </row>
    <row r="24" spans="1:5" ht="19.5" thickBot="1">
      <c r="E24" s="7" t="s">
        <v>121</v>
      </c>
    </row>
  </sheetData>
  <autoFilter ref="A1:E15" xr:uid="{03156433-8788-4196-A79D-9790F236E9A5}">
    <sortState xmlns:xlrd2="http://schemas.microsoft.com/office/spreadsheetml/2017/richdata2" ref="A2:E24">
      <sortCondition ref="B1:B15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25D3-443A-4C43-B2B0-F86644A39CA0}">
  <dimension ref="B1:N20"/>
  <sheetViews>
    <sheetView showGridLines="0" topLeftCell="B3" zoomScale="70" zoomScaleNormal="70" workbookViewId="0">
      <selection activeCell="N7" sqref="N7"/>
    </sheetView>
  </sheetViews>
  <sheetFormatPr defaultColWidth="11.42578125" defaultRowHeight="15"/>
  <cols>
    <col min="1" max="1" width="0" hidden="1" customWidth="1"/>
    <col min="2" max="2" width="35.42578125" style="84" bestFit="1" customWidth="1"/>
    <col min="3" max="8" width="25.7109375" style="84" customWidth="1"/>
    <col min="9" max="9" width="36.42578125" style="84" bestFit="1" customWidth="1"/>
    <col min="10" max="10" width="36.42578125" style="84" customWidth="1"/>
    <col min="11" max="11" width="31.85546875" style="84" customWidth="1"/>
    <col min="12" max="12" width="23" style="84" bestFit="1" customWidth="1"/>
    <col min="13" max="13" width="20.85546875" style="84" bestFit="1" customWidth="1"/>
    <col min="14" max="14" width="21.7109375" style="84" bestFit="1" customWidth="1"/>
  </cols>
  <sheetData>
    <row r="1" spans="2:14" hidden="1">
      <c r="C1"/>
    </row>
    <row r="2" spans="2:14" ht="31.5" hidden="1" customHeight="1">
      <c r="C2" s="4"/>
      <c r="D2" s="101"/>
      <c r="E2" s="101"/>
      <c r="F2" s="101"/>
      <c r="G2" s="101"/>
      <c r="H2" s="101"/>
    </row>
    <row r="3" spans="2:14" ht="28.5">
      <c r="B3" s="286" t="s">
        <v>1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</row>
    <row r="4" spans="2:14" ht="45" customHeight="1">
      <c r="B4" s="102" t="s">
        <v>122</v>
      </c>
      <c r="C4" s="3" t="s">
        <v>123</v>
      </c>
      <c r="D4" s="85" t="s">
        <v>124</v>
      </c>
      <c r="E4" s="85" t="s">
        <v>125</v>
      </c>
      <c r="F4" s="85" t="s">
        <v>126</v>
      </c>
      <c r="G4" s="85" t="s">
        <v>127</v>
      </c>
      <c r="H4" s="85" t="s">
        <v>128</v>
      </c>
      <c r="I4" s="85" t="s">
        <v>129</v>
      </c>
      <c r="J4" s="85" t="s">
        <v>130</v>
      </c>
      <c r="K4" s="85" t="s">
        <v>131</v>
      </c>
      <c r="L4" s="86" t="s">
        <v>132</v>
      </c>
      <c r="M4" s="86" t="s">
        <v>133</v>
      </c>
      <c r="N4" s="87" t="s">
        <v>134</v>
      </c>
    </row>
    <row r="5" spans="2:14" ht="45" customHeight="1">
      <c r="B5" s="106" t="s">
        <v>69</v>
      </c>
      <c r="C5" s="107">
        <f>IFERROR(VLOOKUP(B5, Base_numéro!A:B, 2, FALSE), "")</f>
        <v>612938590</v>
      </c>
      <c r="D5" s="108" t="s">
        <v>135</v>
      </c>
      <c r="E5" s="108" t="s">
        <v>136</v>
      </c>
      <c r="F5" s="112">
        <v>45009</v>
      </c>
      <c r="G5" s="113" t="s">
        <v>137</v>
      </c>
      <c r="H5" s="108"/>
      <c r="I5" s="108"/>
      <c r="J5" s="108" t="s">
        <v>138</v>
      </c>
      <c r="K5" s="108" t="s">
        <v>139</v>
      </c>
      <c r="L5" s="109"/>
      <c r="M5" s="110" t="s">
        <v>169</v>
      </c>
      <c r="N5" s="111" t="s">
        <v>102</v>
      </c>
    </row>
    <row r="6" spans="2:14" ht="45" customHeight="1">
      <c r="B6" s="114" t="s">
        <v>74</v>
      </c>
      <c r="C6" s="115">
        <f>IFERROR(VLOOKUP(B6, Base_numéro!A:B, 2, FALSE), "")</f>
        <v>620024461</v>
      </c>
      <c r="D6" s="141" t="s">
        <v>140</v>
      </c>
      <c r="E6" s="141" t="s">
        <v>141</v>
      </c>
      <c r="F6" s="142">
        <v>44159</v>
      </c>
      <c r="G6" s="142">
        <v>44220</v>
      </c>
      <c r="H6" s="141" t="s">
        <v>142</v>
      </c>
      <c r="I6" s="116"/>
      <c r="J6" s="141" t="s">
        <v>143</v>
      </c>
      <c r="K6" s="141" t="s">
        <v>144</v>
      </c>
      <c r="L6" s="117"/>
      <c r="M6" s="118" t="s">
        <v>169</v>
      </c>
      <c r="N6" s="119" t="s">
        <v>107</v>
      </c>
    </row>
    <row r="7" spans="2:14" ht="45" customHeight="1">
      <c r="B7" s="203"/>
      <c r="C7" s="82" t="str">
        <f>IFERROR(VLOOKUP(B7, Base_numéro!A:B, 2, FALSE), "")</f>
        <v/>
      </c>
      <c r="D7" s="226"/>
      <c r="E7" s="91"/>
      <c r="F7" s="213"/>
      <c r="G7" s="209"/>
      <c r="H7" s="91"/>
      <c r="I7" s="91"/>
      <c r="J7" s="91"/>
      <c r="K7" s="212"/>
      <c r="L7" s="91"/>
      <c r="M7" s="91"/>
      <c r="N7" s="227"/>
    </row>
    <row r="8" spans="2:14" ht="45" customHeight="1">
      <c r="B8" s="103"/>
      <c r="C8" s="82" t="str">
        <f>IFERROR(VLOOKUP(B8, Base_numéro!A:B, 2, FALSE), "")</f>
        <v/>
      </c>
      <c r="D8" s="228"/>
      <c r="E8" s="229"/>
      <c r="F8" s="213"/>
      <c r="G8" s="209"/>
      <c r="H8" s="209"/>
      <c r="I8" s="91"/>
      <c r="J8" s="212"/>
      <c r="K8" s="211"/>
      <c r="L8" s="91"/>
      <c r="M8" s="88"/>
      <c r="N8" s="89"/>
    </row>
    <row r="9" spans="2:14" ht="45" customHeight="1">
      <c r="B9" s="103"/>
      <c r="C9" s="82" t="str">
        <f>IFERROR(VLOOKUP(B9, Base_numéro!A:B, 2, FALSE), "")</f>
        <v/>
      </c>
      <c r="D9" s="91"/>
      <c r="E9" s="91"/>
      <c r="F9" s="88"/>
      <c r="G9" s="88"/>
      <c r="H9" s="91"/>
      <c r="I9" s="91"/>
      <c r="J9" s="91"/>
      <c r="K9" s="91"/>
      <c r="L9" s="91"/>
      <c r="M9" s="88"/>
      <c r="N9" s="89"/>
    </row>
    <row r="10" spans="2:14" ht="45" customHeight="1">
      <c r="B10" s="104"/>
      <c r="C10" s="82" t="str">
        <f>IFERROR(VLOOKUP(B10, Base_numéro!A:B, 2, FALSE), "")</f>
        <v/>
      </c>
      <c r="D10" s="93"/>
      <c r="E10" s="93"/>
      <c r="F10" s="94"/>
      <c r="G10" s="94"/>
      <c r="H10" s="93"/>
      <c r="I10" s="93"/>
      <c r="J10" s="93"/>
      <c r="K10" s="93"/>
      <c r="L10" s="91"/>
      <c r="M10" s="94"/>
      <c r="N10" s="99"/>
    </row>
    <row r="11" spans="2:14" ht="45" customHeight="1">
      <c r="B11" s="103"/>
      <c r="C11" s="83" t="str">
        <f>IFERROR(VLOOKUP(B11, Base_numéro!A:B, 2, FALSE), "")</f>
        <v/>
      </c>
      <c r="D11" s="91"/>
      <c r="E11" s="91"/>
      <c r="F11" s="88"/>
      <c r="G11" s="88"/>
      <c r="H11" s="91"/>
      <c r="I11" s="91"/>
      <c r="J11" s="91"/>
      <c r="K11" s="91"/>
      <c r="L11" s="91"/>
      <c r="M11" s="88"/>
      <c r="N11" s="100"/>
    </row>
    <row r="12" spans="2:14" ht="45" customHeight="1">
      <c r="B12" s="103"/>
      <c r="C12" s="83" t="str">
        <f>IFERROR(VLOOKUP(B12, Base_numéro!A:B, 2, FALSE), "")</f>
        <v/>
      </c>
      <c r="D12" s="91"/>
      <c r="E12" s="91"/>
      <c r="F12" s="88"/>
      <c r="G12" s="88"/>
      <c r="H12" s="91"/>
      <c r="I12" s="91"/>
      <c r="J12" s="91"/>
      <c r="K12" s="91"/>
      <c r="L12" s="91"/>
      <c r="M12" s="88"/>
      <c r="N12" s="100"/>
    </row>
    <row r="13" spans="2:14" ht="45" customHeight="1">
      <c r="B13" s="103"/>
      <c r="C13" s="83" t="str">
        <f>IFERROR(VLOOKUP(B13, Base_numéro!A:B, 2, FALSE), "")</f>
        <v/>
      </c>
      <c r="D13" s="91"/>
      <c r="E13" s="91"/>
      <c r="F13" s="88"/>
      <c r="G13" s="88"/>
      <c r="H13" s="91"/>
      <c r="I13" s="91"/>
      <c r="J13" s="91"/>
      <c r="K13" s="91"/>
      <c r="L13" s="91"/>
      <c r="M13" s="88"/>
      <c r="N13" s="100"/>
    </row>
    <row r="14" spans="2:14" ht="45" customHeight="1">
      <c r="B14" s="103"/>
      <c r="C14" s="83" t="str">
        <f>IFERROR(VLOOKUP(B14, Base_numéro!A:B, 2, FALSE), "")</f>
        <v/>
      </c>
      <c r="D14" s="91"/>
      <c r="E14" s="91"/>
      <c r="F14" s="88"/>
      <c r="G14" s="88"/>
      <c r="H14" s="91"/>
      <c r="I14" s="91"/>
      <c r="J14" s="91"/>
      <c r="K14" s="91"/>
      <c r="L14" s="91"/>
      <c r="M14" s="88"/>
      <c r="N14" s="100"/>
    </row>
    <row r="15" spans="2:14" ht="45" customHeight="1">
      <c r="B15" s="103"/>
      <c r="C15" s="83" t="str">
        <f>IFERROR(VLOOKUP(B15, Base_numéro!A:B, 2, FALSE), "")</f>
        <v/>
      </c>
      <c r="D15" s="91"/>
      <c r="E15" s="91"/>
      <c r="F15" s="88"/>
      <c r="G15" s="88"/>
      <c r="H15" s="91"/>
      <c r="I15" s="91"/>
      <c r="J15" s="91"/>
      <c r="K15" s="91"/>
      <c r="L15" s="91"/>
      <c r="M15" s="88"/>
      <c r="N15" s="100"/>
    </row>
    <row r="16" spans="2:14" ht="45" customHeight="1">
      <c r="B16" s="103"/>
      <c r="C16" s="83" t="str">
        <f>IFERROR(VLOOKUP(B16, Base_numéro!A:B, 2, FALSE), "")</f>
        <v/>
      </c>
      <c r="D16" s="91"/>
      <c r="E16" s="91"/>
      <c r="F16" s="88"/>
      <c r="G16" s="88"/>
      <c r="H16" s="91"/>
      <c r="I16" s="91"/>
      <c r="J16" s="91"/>
      <c r="K16" s="91"/>
      <c r="L16" s="91"/>
      <c r="M16" s="88"/>
      <c r="N16" s="100"/>
    </row>
    <row r="17" spans="2:14" ht="45" customHeight="1">
      <c r="B17" s="103"/>
      <c r="C17" s="83" t="str">
        <f>IFERROR(VLOOKUP(B17, Base_numéro!A:B, 2, FALSE), "")</f>
        <v/>
      </c>
      <c r="D17" s="91"/>
      <c r="E17" s="91"/>
      <c r="F17" s="88"/>
      <c r="G17" s="88"/>
      <c r="H17" s="91"/>
      <c r="I17" s="91"/>
      <c r="J17" s="91"/>
      <c r="K17" s="91"/>
      <c r="L17" s="91"/>
      <c r="M17" s="88"/>
      <c r="N17" s="100"/>
    </row>
    <row r="18" spans="2:14" ht="45" customHeight="1">
      <c r="B18" s="103"/>
      <c r="C18" s="83" t="str">
        <f>IFERROR(VLOOKUP(B18, Base_numéro!A:B, 2, FALSE), "")</f>
        <v/>
      </c>
      <c r="D18" s="91"/>
      <c r="E18" s="91"/>
      <c r="F18" s="88"/>
      <c r="G18" s="88"/>
      <c r="H18" s="91"/>
      <c r="I18" s="91"/>
      <c r="J18" s="91"/>
      <c r="K18" s="91"/>
      <c r="L18" s="91"/>
      <c r="M18" s="88"/>
      <c r="N18" s="100"/>
    </row>
    <row r="19" spans="2:14" ht="45" customHeight="1">
      <c r="B19" s="103"/>
      <c r="C19" s="83" t="str">
        <f>IFERROR(VLOOKUP(B19, Base_numéro!A:B, 2, FALSE), "")</f>
        <v/>
      </c>
      <c r="D19" s="91"/>
      <c r="E19" s="91"/>
      <c r="F19" s="88"/>
      <c r="G19" s="88"/>
      <c r="H19" s="91"/>
      <c r="I19" s="91"/>
      <c r="J19" s="91"/>
      <c r="K19" s="91"/>
      <c r="L19" s="91"/>
      <c r="M19" s="88"/>
      <c r="N19" s="100"/>
    </row>
    <row r="20" spans="2:14" ht="45" customHeight="1">
      <c r="B20" s="103"/>
      <c r="C20" s="83" t="str">
        <f>IFERROR(VLOOKUP(B20, Base_numéro!A:B, 2, FALSE), "")</f>
        <v/>
      </c>
      <c r="D20" s="91"/>
      <c r="E20" s="91"/>
      <c r="F20" s="88"/>
      <c r="G20" s="88"/>
      <c r="H20" s="91"/>
      <c r="I20" s="91"/>
      <c r="J20" s="91"/>
      <c r="K20" s="91"/>
      <c r="L20" s="91"/>
      <c r="M20" s="88"/>
      <c r="N20" s="100"/>
    </row>
  </sheetData>
  <sheetProtection algorithmName="SHA-512" hashValue="+T1KQ2t6c5zXTT9FwdOz313tv+nekUWCLK65guOIbk8n8iSBbLgfOxHmpnn9fNj60MC367FROvGqf/qfzz3EMg==" saltValue="XpZcr7ra7+scAdXiSpkwJg==" spinCount="100000" sheet="1" objects="1" scenarios="1" formatCells="0" formatColumns="0" formatRows="0" insertRows="0" deleteRows="0" sort="0" autoFilter="0"/>
  <mergeCells count="1">
    <mergeCell ref="B3:N3"/>
  </mergeCells>
  <pageMargins left="0.7" right="0.7" top="0.75" bottom="0.75" header="0.3" footer="0.3"/>
  <pageSetup paperSize="9" orientation="portrait" horizontalDpi="200" verticalDpi="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2DA3085-73AF-4A1B-BFD8-99B16A4EF6AF}">
          <x14:formula1>
            <xm:f>'Base Mai'!$E$2:$E$24</xm:f>
          </x14:formula1>
          <xm:sqref>N7:N20</xm:sqref>
        </x14:dataValidation>
        <x14:dataValidation type="list" allowBlank="1" showInputMessage="1" showErrorMessage="1" xr:uid="{38DD07A4-1F47-40E7-89D8-8323B23FCA58}">
          <x14:formula1>
            <xm:f>'Base Mai'!$A$2:$A$22</xm:f>
          </x14:formula1>
          <xm:sqref>B7:B20</xm:sqref>
        </x14:dataValidation>
        <x14:dataValidation type="list" allowBlank="1" showInputMessage="1" showErrorMessage="1" xr:uid="{1A84DDAD-13F1-42BF-AA4A-948F1F6131A1}">
          <x14:formula1>
            <xm:f>'Base Janvier'!$A$2:$A$15</xm:f>
          </x14:formula1>
          <xm:sqref>B1</xm:sqref>
        </x14:dataValidation>
        <x14:dataValidation type="list" allowBlank="1" showInputMessage="1" showErrorMessage="1" xr:uid="{DBBA58A2-DC27-417E-B6C2-42D1A60E1131}">
          <x14:formula1>
            <xm:f>'Base Mois'!$A$2:$A$13</xm:f>
          </x14:formula1>
          <xm:sqref>B3</xm:sqref>
        </x14:dataValidation>
        <x14:dataValidation type="list" allowBlank="1" showInputMessage="1" showErrorMessage="1" xr:uid="{2DD548F4-9E52-4210-9706-3FB7AA61832B}">
          <x14:formula1>
            <xm:f>'Base Janvier'!$E$2:$E$24</xm:f>
          </x14:formula1>
          <xm:sqref>L1:L2 L21:L1048576 N5:N6</xm:sqref>
        </x14:dataValidation>
        <x14:dataValidation type="list" allowBlank="1" showInputMessage="1" showErrorMessage="1" xr:uid="{6D465947-F882-4D00-B949-AA08D1882B40}">
          <x14:formula1>
            <xm:f>'Base Janvier'!$A$2:$A$22</xm:f>
          </x14:formula1>
          <xm:sqref>B21:B1048576 B5:B6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97C0-6BA1-4BA3-B69E-6FFDEEA151E6}">
  <dimension ref="A1:H24"/>
  <sheetViews>
    <sheetView zoomScaleNormal="100" workbookViewId="0">
      <selection activeCell="E15" sqref="E15"/>
    </sheetView>
  </sheetViews>
  <sheetFormatPr defaultColWidth="11.42578125" defaultRowHeight="15"/>
  <cols>
    <col min="1" max="1" width="36" bestFit="1" customWidth="1"/>
    <col min="2" max="2" width="42.5703125" bestFit="1" customWidth="1"/>
    <col min="4" max="4" width="14.85546875" customWidth="1"/>
    <col min="5" max="5" width="24.7109375" customWidth="1"/>
  </cols>
  <sheetData>
    <row r="1" spans="1:8" ht="30.75" thickBot="1">
      <c r="A1" s="6" t="s">
        <v>94</v>
      </c>
      <c r="B1" s="12" t="s">
        <v>95</v>
      </c>
      <c r="C1" s="2" t="s">
        <v>96</v>
      </c>
      <c r="D1" s="2" t="s">
        <v>97</v>
      </c>
      <c r="E1" s="6" t="s">
        <v>98</v>
      </c>
    </row>
    <row r="2" spans="1:8" ht="19.5" thickBot="1">
      <c r="A2" s="16" t="str">
        <f t="shared" ref="A2:A22" si="0">IF(D2&gt;0,B2," ")</f>
        <v>BEW170 - HUAWEI Mobile 4G</v>
      </c>
      <c r="B2" s="14" t="s">
        <v>65</v>
      </c>
      <c r="C2" s="5">
        <v>1</v>
      </c>
      <c r="D2" s="5">
        <f>C2-(COUNTIF(Juin!$N$5:$N$75,'Base Juin'!E2))</f>
        <v>1</v>
      </c>
      <c r="E2" s="17" t="s">
        <v>99</v>
      </c>
    </row>
    <row r="3" spans="1:8" ht="19.5" thickBot="1">
      <c r="A3" s="16" t="str">
        <f t="shared" si="0"/>
        <v>BEW172 - HUAWEI Mobile 4G</v>
      </c>
      <c r="B3" s="15" t="s">
        <v>67</v>
      </c>
      <c r="C3" s="5">
        <v>1</v>
      </c>
      <c r="D3" s="5">
        <f>C3-(COUNTIF(Juin!$N$5:$N$75,'Base Juin'!E3))</f>
        <v>1</v>
      </c>
      <c r="E3" s="18" t="s">
        <v>100</v>
      </c>
      <c r="H3" s="1"/>
    </row>
    <row r="4" spans="1:8" ht="19.5" thickBot="1">
      <c r="A4" s="16" t="str">
        <f t="shared" si="0"/>
        <v>TLP1462 - iPhone 5S</v>
      </c>
      <c r="B4" s="15" t="s">
        <v>68</v>
      </c>
      <c r="C4" s="5">
        <v>1</v>
      </c>
      <c r="D4" s="5">
        <f>C4-(COUNTIF(Juin!$N$5:$N$75,'Base Juin'!E4))</f>
        <v>1</v>
      </c>
      <c r="E4" s="18" t="s">
        <v>101</v>
      </c>
    </row>
    <row r="5" spans="1:8" ht="19.5" thickBot="1">
      <c r="A5" s="16" t="str">
        <f t="shared" si="0"/>
        <v xml:space="preserve"> </v>
      </c>
      <c r="B5" s="14" t="s">
        <v>69</v>
      </c>
      <c r="C5" s="5">
        <v>1</v>
      </c>
      <c r="D5" s="5">
        <f>C5-(COUNTIF(Juin!$N$5:$N$75,'Base Juin'!E5))</f>
        <v>0</v>
      </c>
      <c r="E5" s="17" t="s">
        <v>102</v>
      </c>
    </row>
    <row r="6" spans="1:8" ht="19.5" thickBot="1">
      <c r="A6" s="16" t="str">
        <f t="shared" si="0"/>
        <v>TLP1733 - Crosscall  Spider X-1</v>
      </c>
      <c r="B6" s="15" t="s">
        <v>70</v>
      </c>
      <c r="C6" s="5">
        <v>1</v>
      </c>
      <c r="D6" s="5">
        <f>C6-(COUNTIF(Juin!$N$5:$N$75,'Base Juin'!E6))</f>
        <v>1</v>
      </c>
      <c r="E6" s="18" t="s">
        <v>103</v>
      </c>
    </row>
    <row r="7" spans="1:8" ht="19.5" thickBot="1">
      <c r="A7" s="16" t="str">
        <f t="shared" si="0"/>
        <v>TLP1734 - Crosscall  Spider X-1</v>
      </c>
      <c r="B7" s="14" t="s">
        <v>71</v>
      </c>
      <c r="C7" s="5">
        <v>1</v>
      </c>
      <c r="D7" s="5">
        <f>C7-(COUNTIF(Juin!$N$5:$N$75,'Base Juin'!E7))</f>
        <v>1</v>
      </c>
      <c r="E7" s="17" t="s">
        <v>104</v>
      </c>
    </row>
    <row r="8" spans="1:8" ht="19.5" thickBot="1">
      <c r="A8" s="16" t="str">
        <f t="shared" si="0"/>
        <v>TLP1735 - Crosscall  Spider X-1</v>
      </c>
      <c r="B8" s="15" t="s">
        <v>72</v>
      </c>
      <c r="C8" s="5">
        <v>1</v>
      </c>
      <c r="D8" s="5">
        <f>C8-(COUNTIF(Juin!$N$5:$N$75,'Base Juin'!E8))</f>
        <v>1</v>
      </c>
      <c r="E8" s="18" t="s">
        <v>105</v>
      </c>
    </row>
    <row r="9" spans="1:8" ht="19.5" thickBot="1">
      <c r="A9" s="16" t="str">
        <f t="shared" si="0"/>
        <v>TLP1736 - Crosscall  Spider X-1</v>
      </c>
      <c r="B9" s="14" t="s">
        <v>73</v>
      </c>
      <c r="C9" s="5">
        <v>1</v>
      </c>
      <c r="D9" s="5">
        <f>C9-(COUNTIF(Juin!$N$5:$N$75,'Base Juin'!E9))</f>
        <v>1</v>
      </c>
      <c r="E9" s="17" t="s">
        <v>106</v>
      </c>
    </row>
    <row r="10" spans="1:8" ht="19.5" thickBot="1">
      <c r="A10" s="16" t="str">
        <f t="shared" si="0"/>
        <v xml:space="preserve"> </v>
      </c>
      <c r="B10" s="15" t="s">
        <v>74</v>
      </c>
      <c r="C10" s="5">
        <v>1</v>
      </c>
      <c r="D10" s="5">
        <f>C10-(COUNTIF(Juin!$N$5:$N$75,'Base Juin'!E10))</f>
        <v>0</v>
      </c>
      <c r="E10" s="18" t="s">
        <v>107</v>
      </c>
    </row>
    <row r="11" spans="1:8" ht="19.5" thickBot="1">
      <c r="A11" s="16" t="str">
        <f t="shared" si="0"/>
        <v>TLP1862 - Mission Sensible</v>
      </c>
      <c r="B11" s="13" t="s">
        <v>75</v>
      </c>
      <c r="C11" s="5">
        <v>1</v>
      </c>
      <c r="D11" s="5">
        <f>C11-(COUNTIF(Juin!$N$5:$N$75,'Base Juin'!E11))</f>
        <v>1</v>
      </c>
      <c r="E11" s="19" t="s">
        <v>108</v>
      </c>
    </row>
    <row r="12" spans="1:8" ht="19.5" thickBot="1">
      <c r="A12" s="16" t="str">
        <f t="shared" si="0"/>
        <v>TLP1866 - Mission Sensible</v>
      </c>
      <c r="B12" s="13" t="s">
        <v>76</v>
      </c>
      <c r="C12" s="5">
        <v>1</v>
      </c>
      <c r="D12" s="5">
        <f>C12-(COUNTIF(Juin!$N$5:$N$75,'Base Juin'!E12))</f>
        <v>1</v>
      </c>
      <c r="E12" s="19" t="s">
        <v>109</v>
      </c>
    </row>
    <row r="13" spans="1:8" ht="19.5" thickBot="1">
      <c r="A13" s="16" t="str">
        <f t="shared" si="0"/>
        <v>TLP1872 - Mission Sensible</v>
      </c>
      <c r="B13" s="13" t="s">
        <v>77</v>
      </c>
      <c r="C13" s="5">
        <v>1</v>
      </c>
      <c r="D13" s="5">
        <f>C13-(COUNTIF(Juin!$N$5:$N$75,'Base Juin'!E13))</f>
        <v>1</v>
      </c>
      <c r="E13" s="19" t="s">
        <v>110</v>
      </c>
    </row>
    <row r="14" spans="1:8" ht="19.5" thickBot="1">
      <c r="A14" s="16" t="str">
        <f t="shared" si="0"/>
        <v>TLP1878 - iPhone 7 - 10GB Data</v>
      </c>
      <c r="B14" s="14" t="s">
        <v>79</v>
      </c>
      <c r="C14" s="5">
        <v>1</v>
      </c>
      <c r="D14" s="5">
        <f>C14-(COUNTIF(Juin!$N$5:$N$75,'Base Juin'!E14))</f>
        <v>1</v>
      </c>
      <c r="E14" s="17" t="s">
        <v>111</v>
      </c>
    </row>
    <row r="15" spans="1:8" ht="19.5" thickBot="1">
      <c r="A15" s="16" t="str">
        <f t="shared" si="0"/>
        <v>TLP1894 - Mission Sensible</v>
      </c>
      <c r="B15" s="13" t="s">
        <v>80</v>
      </c>
      <c r="C15" s="5">
        <v>1</v>
      </c>
      <c r="D15" s="5">
        <f>C15-(COUNTIF(Juin!$N$5:$N$75,'Base Juin'!E15))</f>
        <v>1</v>
      </c>
      <c r="E15" s="19" t="s">
        <v>112</v>
      </c>
    </row>
    <row r="16" spans="1:8" ht="19.5" thickBot="1">
      <c r="A16" s="16" t="str">
        <f t="shared" si="0"/>
        <v>TLP1903 - Mission Sensible</v>
      </c>
      <c r="B16" s="13" t="s">
        <v>81</v>
      </c>
      <c r="C16" s="5">
        <v>1</v>
      </c>
      <c r="D16" s="5">
        <f>C16-(COUNTIF(Juin!$N$5:$N$75,'Base Juin'!E16))</f>
        <v>1</v>
      </c>
      <c r="E16" s="19" t="s">
        <v>113</v>
      </c>
    </row>
    <row r="17" spans="1:5" ht="19.5" thickBot="1">
      <c r="A17" s="16" t="str">
        <f t="shared" si="0"/>
        <v>TLP1904 - Mission Sensible</v>
      </c>
      <c r="B17" s="13" t="s">
        <v>83</v>
      </c>
      <c r="C17" s="5">
        <v>1</v>
      </c>
      <c r="D17" s="5">
        <f>C17-(COUNTIF(Juin!$N$5:$N$75,'Base Juin'!E17))</f>
        <v>1</v>
      </c>
      <c r="E17" s="19" t="s">
        <v>114</v>
      </c>
    </row>
    <row r="18" spans="1:5" ht="19.5" thickBot="1">
      <c r="A18" s="16" t="str">
        <f t="shared" si="0"/>
        <v>TLP2181 - Crosscall  Spider X-5</v>
      </c>
      <c r="B18" s="14" t="s">
        <v>85</v>
      </c>
      <c r="C18" s="5">
        <v>1</v>
      </c>
      <c r="D18" s="5">
        <f>C18-(COUNTIF(Juin!$N$5:$N$75,'Base Juin'!E18))</f>
        <v>1</v>
      </c>
      <c r="E18" s="17" t="s">
        <v>115</v>
      </c>
    </row>
    <row r="19" spans="1:5" ht="19.5" thickBot="1">
      <c r="A19" s="16" t="str">
        <f t="shared" si="0"/>
        <v>TLP2183 - Crosscall  Spider X-5</v>
      </c>
      <c r="B19" s="15" t="s">
        <v>87</v>
      </c>
      <c r="C19" s="5">
        <v>1</v>
      </c>
      <c r="D19" s="5">
        <f>C19-(COUNTIF(Juin!$N$5:$N$75,'Base Juin'!E19))</f>
        <v>1</v>
      </c>
      <c r="E19" s="18" t="s">
        <v>116</v>
      </c>
    </row>
    <row r="20" spans="1:5" ht="19.5" thickBot="1">
      <c r="A20" s="16" t="str">
        <f t="shared" si="0"/>
        <v>TLP2184 - Crosscall  Spider X-5</v>
      </c>
      <c r="B20" s="14" t="s">
        <v>89</v>
      </c>
      <c r="C20" s="5">
        <v>1</v>
      </c>
      <c r="D20" s="5">
        <f>C20-(COUNTIF(Juin!$N$5:$N$75,'Base Juin'!E20))</f>
        <v>1</v>
      </c>
      <c r="E20" s="17" t="s">
        <v>117</v>
      </c>
    </row>
    <row r="21" spans="1:5" ht="19.5" thickBot="1">
      <c r="A21" s="16" t="str">
        <f t="shared" si="0"/>
        <v>TLP2196 - CROSSCALL CORE M5</v>
      </c>
      <c r="B21" s="14" t="s">
        <v>90</v>
      </c>
      <c r="C21" s="5">
        <v>1</v>
      </c>
      <c r="D21" s="5">
        <f>C21-(COUNTIF(Juin!$N$5:$N$75,'Base Juin'!E21))</f>
        <v>1</v>
      </c>
      <c r="E21" s="17" t="s">
        <v>118</v>
      </c>
    </row>
    <row r="22" spans="1:5" ht="19.5" thickBot="1">
      <c r="A22" s="16" t="str">
        <f t="shared" si="0"/>
        <v>TLP2197 - CROSSCALL CORE M5</v>
      </c>
      <c r="B22" s="14" t="s">
        <v>91</v>
      </c>
      <c r="C22" s="5">
        <v>1</v>
      </c>
      <c r="D22" s="5">
        <f>C22-(COUNTIF(Juin!$N$5:$N$75,'Base Juin'!E22))</f>
        <v>1</v>
      </c>
      <c r="E22" s="17" t="s">
        <v>119</v>
      </c>
    </row>
    <row r="23" spans="1:5" ht="19.5" thickBot="1">
      <c r="E23" s="7" t="s">
        <v>120</v>
      </c>
    </row>
    <row r="24" spans="1:5" ht="19.5" thickBot="1">
      <c r="E24" s="7" t="s">
        <v>121</v>
      </c>
    </row>
  </sheetData>
  <autoFilter ref="A1:E15" xr:uid="{03156433-8788-4196-A79D-9790F236E9A5}">
    <sortState xmlns:xlrd2="http://schemas.microsoft.com/office/spreadsheetml/2017/richdata2" ref="A2:E24">
      <sortCondition ref="B1:B15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9C45-2300-4C3A-853D-CE38E8C27949}">
  <dimension ref="B1:N20"/>
  <sheetViews>
    <sheetView showGridLines="0" topLeftCell="B4" zoomScale="70" zoomScaleNormal="70" workbookViewId="0">
      <selection activeCell="B7" sqref="B7"/>
    </sheetView>
  </sheetViews>
  <sheetFormatPr defaultColWidth="11.42578125" defaultRowHeight="15"/>
  <cols>
    <col min="1" max="1" width="0" hidden="1" customWidth="1"/>
    <col min="2" max="2" width="37.28515625" style="84" bestFit="1" customWidth="1"/>
    <col min="3" max="3" width="23.5703125" style="84" bestFit="1" customWidth="1"/>
    <col min="4" max="4" width="25.7109375" style="84" customWidth="1"/>
    <col min="5" max="5" width="16.5703125" style="84" bestFit="1" customWidth="1"/>
    <col min="6" max="6" width="19.7109375" style="84" bestFit="1" customWidth="1"/>
    <col min="7" max="7" width="25.7109375" style="84" customWidth="1"/>
    <col min="8" max="8" width="17.28515625" style="84" bestFit="1" customWidth="1"/>
    <col min="9" max="9" width="17.85546875" style="84" bestFit="1" customWidth="1"/>
    <col min="10" max="10" width="25.7109375" style="84" bestFit="1" customWidth="1"/>
    <col min="11" max="11" width="21.140625" style="84" bestFit="1" customWidth="1"/>
    <col min="12" max="12" width="21.85546875" style="84" bestFit="1" customWidth="1"/>
    <col min="13" max="13" width="23.140625" style="84" bestFit="1" customWidth="1"/>
    <col min="14" max="14" width="20.140625" style="84" bestFit="1" customWidth="1"/>
  </cols>
  <sheetData>
    <row r="1" spans="2:14" hidden="1">
      <c r="C1"/>
    </row>
    <row r="2" spans="2:14" ht="31.5" hidden="1" customHeight="1">
      <c r="C2" s="4"/>
      <c r="D2" s="101"/>
      <c r="E2" s="101"/>
      <c r="F2" s="101"/>
      <c r="G2" s="101"/>
      <c r="H2" s="101"/>
    </row>
    <row r="3" spans="2:14" ht="28.5">
      <c r="B3" s="286" t="s">
        <v>1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</row>
    <row r="4" spans="2:14" ht="45" customHeight="1">
      <c r="B4" s="102" t="s">
        <v>122</v>
      </c>
      <c r="C4" s="3" t="s">
        <v>123</v>
      </c>
      <c r="D4" s="85" t="s">
        <v>124</v>
      </c>
      <c r="E4" s="85" t="s">
        <v>125</v>
      </c>
      <c r="F4" s="85" t="s">
        <v>126</v>
      </c>
      <c r="G4" s="85" t="s">
        <v>127</v>
      </c>
      <c r="H4" s="85" t="s">
        <v>128</v>
      </c>
      <c r="I4" s="85" t="s">
        <v>129</v>
      </c>
      <c r="J4" s="85" t="s">
        <v>130</v>
      </c>
      <c r="K4" s="85" t="s">
        <v>131</v>
      </c>
      <c r="L4" s="86" t="s">
        <v>132</v>
      </c>
      <c r="M4" s="86" t="s">
        <v>133</v>
      </c>
      <c r="N4" s="87" t="s">
        <v>134</v>
      </c>
    </row>
    <row r="5" spans="2:14" ht="45" customHeight="1">
      <c r="B5" s="106" t="s">
        <v>69</v>
      </c>
      <c r="C5" s="107">
        <f>IFERROR(VLOOKUP(B5, Base_numéro!A:B, 2, FALSE), "")</f>
        <v>612938590</v>
      </c>
      <c r="D5" s="108" t="s">
        <v>135</v>
      </c>
      <c r="E5" s="108" t="s">
        <v>136</v>
      </c>
      <c r="F5" s="112">
        <v>45009</v>
      </c>
      <c r="G5" s="113" t="s">
        <v>137</v>
      </c>
      <c r="H5" s="108"/>
      <c r="I5" s="108"/>
      <c r="J5" s="108" t="s">
        <v>138</v>
      </c>
      <c r="K5" s="108" t="s">
        <v>139</v>
      </c>
      <c r="L5" s="109"/>
      <c r="M5" s="110" t="s">
        <v>170</v>
      </c>
      <c r="N5" s="161" t="s">
        <v>102</v>
      </c>
    </row>
    <row r="6" spans="2:14" ht="45" customHeight="1">
      <c r="B6" s="106" t="s">
        <v>74</v>
      </c>
      <c r="C6" s="107">
        <f>IFERROR(VLOOKUP(B6, Base_numéro!A:B, 2, FALSE), "")</f>
        <v>620024461</v>
      </c>
      <c r="D6" s="143" t="s">
        <v>140</v>
      </c>
      <c r="E6" s="143" t="s">
        <v>141</v>
      </c>
      <c r="F6" s="144">
        <v>44159</v>
      </c>
      <c r="G6" s="144">
        <v>44220</v>
      </c>
      <c r="H6" s="143" t="s">
        <v>142</v>
      </c>
      <c r="I6" s="108"/>
      <c r="J6" s="143" t="s">
        <v>143</v>
      </c>
      <c r="K6" s="143" t="s">
        <v>144</v>
      </c>
      <c r="L6" s="109"/>
      <c r="M6" s="136" t="s">
        <v>170</v>
      </c>
      <c r="N6" s="132" t="s">
        <v>107</v>
      </c>
    </row>
    <row r="7" spans="2:14" ht="45" customHeight="1">
      <c r="B7" s="203"/>
      <c r="C7" s="82" t="str">
        <f>IFERROR(VLOOKUP(B7, Base_numéro!A:B, 2, FALSE), "")</f>
        <v/>
      </c>
      <c r="D7" s="204"/>
      <c r="E7" s="204"/>
      <c r="F7" s="219"/>
      <c r="G7" s="219"/>
      <c r="H7" s="219"/>
      <c r="I7" s="204"/>
      <c r="J7" s="204"/>
      <c r="K7" s="204"/>
      <c r="L7" s="204"/>
      <c r="M7" s="88"/>
      <c r="N7" s="220"/>
    </row>
    <row r="8" spans="2:14" ht="45" customHeight="1">
      <c r="B8" s="103"/>
      <c r="C8" s="82" t="str">
        <f>IFERROR(VLOOKUP(B8, Base_numéro!A:B, 2, FALSE), "")</f>
        <v/>
      </c>
      <c r="D8" s="215"/>
      <c r="E8" s="215"/>
      <c r="F8" s="216"/>
      <c r="G8" s="216"/>
      <c r="H8" s="215"/>
      <c r="I8" s="131"/>
      <c r="J8" s="215"/>
      <c r="K8" s="215"/>
      <c r="L8" s="91"/>
      <c r="M8" s="90"/>
      <c r="N8" s="138"/>
    </row>
    <row r="9" spans="2:14" ht="45" customHeight="1">
      <c r="B9" s="203"/>
      <c r="C9" s="82" t="str">
        <f>IFERROR(VLOOKUP(B9, Base_numéro!A:B, 2, FALSE), "")</f>
        <v/>
      </c>
      <c r="D9" s="212"/>
      <c r="E9" s="91"/>
      <c r="F9" s="214"/>
      <c r="G9" s="214"/>
      <c r="H9" s="131"/>
      <c r="I9" s="91"/>
      <c r="J9" s="91"/>
      <c r="K9" s="212"/>
      <c r="L9" s="91"/>
      <c r="M9" s="91"/>
      <c r="N9" s="207"/>
    </row>
    <row r="10" spans="2:14" ht="45" customHeight="1">
      <c r="B10" s="221"/>
      <c r="C10" s="151" t="str">
        <f>IFERROR(VLOOKUP(B10, Base_numéro!A:B, 2, FALSE), "")</f>
        <v/>
      </c>
      <c r="D10" s="222"/>
      <c r="E10" s="131"/>
      <c r="F10" s="223"/>
      <c r="G10" s="148"/>
      <c r="H10" s="131"/>
      <c r="I10" s="131"/>
      <c r="J10" s="131"/>
      <c r="K10" s="224"/>
      <c r="L10" s="131"/>
      <c r="M10" s="149"/>
      <c r="N10" s="225"/>
    </row>
    <row r="11" spans="2:14" ht="45" customHeight="1">
      <c r="B11" s="103"/>
      <c r="C11" s="83" t="str">
        <f>IFERROR(VLOOKUP(B11, Base_numéro!A:B, 2, FALSE), "")</f>
        <v/>
      </c>
      <c r="D11" s="91"/>
      <c r="E11" s="91"/>
      <c r="F11" s="88"/>
      <c r="G11" s="88"/>
      <c r="H11" s="91"/>
      <c r="I11" s="91"/>
      <c r="J11" s="91"/>
      <c r="K11" s="91"/>
      <c r="L11" s="91"/>
      <c r="M11" s="88"/>
      <c r="N11" s="137"/>
    </row>
    <row r="12" spans="2:14" ht="45" customHeight="1">
      <c r="B12" s="103"/>
      <c r="C12" s="83" t="str">
        <f>IFERROR(VLOOKUP(B12, Base_numéro!A:B, 2, FALSE), "")</f>
        <v/>
      </c>
      <c r="D12" s="91"/>
      <c r="E12" s="91"/>
      <c r="F12" s="88"/>
      <c r="G12" s="88"/>
      <c r="H12" s="91"/>
      <c r="I12" s="91"/>
      <c r="J12" s="91"/>
      <c r="K12" s="91"/>
      <c r="L12" s="91"/>
      <c r="M12" s="88"/>
      <c r="N12" s="137"/>
    </row>
    <row r="13" spans="2:14" ht="45" customHeight="1">
      <c r="B13" s="103"/>
      <c r="C13" s="83" t="str">
        <f>IFERROR(VLOOKUP(B13, Base_numéro!A:B, 2, FALSE), "")</f>
        <v/>
      </c>
      <c r="D13" s="91"/>
      <c r="E13" s="91"/>
      <c r="F13" s="88"/>
      <c r="G13" s="88"/>
      <c r="H13" s="91"/>
      <c r="I13" s="91"/>
      <c r="J13" s="91"/>
      <c r="K13" s="91"/>
      <c r="L13" s="91"/>
      <c r="M13" s="88"/>
      <c r="N13" s="137"/>
    </row>
    <row r="14" spans="2:14" ht="45" customHeight="1">
      <c r="B14" s="103"/>
      <c r="C14" s="83" t="str">
        <f>IFERROR(VLOOKUP(B14, Base_numéro!A:B, 2, FALSE), "")</f>
        <v/>
      </c>
      <c r="D14" s="91"/>
      <c r="E14" s="91"/>
      <c r="F14" s="88"/>
      <c r="G14" s="88"/>
      <c r="H14" s="91"/>
      <c r="I14" s="91"/>
      <c r="J14" s="91"/>
      <c r="K14" s="91"/>
      <c r="L14" s="91"/>
      <c r="M14" s="88"/>
      <c r="N14" s="137"/>
    </row>
    <row r="15" spans="2:14" ht="45" customHeight="1">
      <c r="B15" s="103"/>
      <c r="C15" s="83" t="str">
        <f>IFERROR(VLOOKUP(B15, Base_numéro!A:B, 2, FALSE), "")</f>
        <v/>
      </c>
      <c r="D15" s="91"/>
      <c r="E15" s="91"/>
      <c r="F15" s="88"/>
      <c r="G15" s="88"/>
      <c r="H15" s="91"/>
      <c r="I15" s="91"/>
      <c r="J15" s="91"/>
      <c r="K15" s="91"/>
      <c r="L15" s="91"/>
      <c r="M15" s="88"/>
      <c r="N15" s="137"/>
    </row>
    <row r="16" spans="2:14" ht="45" customHeight="1">
      <c r="B16" s="103"/>
      <c r="C16" s="83" t="str">
        <f>IFERROR(VLOOKUP(B16, Base_numéro!A:B, 2, FALSE), "")</f>
        <v/>
      </c>
      <c r="D16" s="91"/>
      <c r="E16" s="91"/>
      <c r="F16" s="88"/>
      <c r="G16" s="88"/>
      <c r="H16" s="91"/>
      <c r="I16" s="91"/>
      <c r="J16" s="91"/>
      <c r="K16" s="91"/>
      <c r="L16" s="91"/>
      <c r="M16" s="88"/>
      <c r="N16" s="137"/>
    </row>
    <row r="17" spans="2:14" ht="45" customHeight="1">
      <c r="B17" s="103"/>
      <c r="C17" s="83" t="str">
        <f>IFERROR(VLOOKUP(B17, Base_numéro!A:B, 2, FALSE), "")</f>
        <v/>
      </c>
      <c r="D17" s="91"/>
      <c r="E17" s="91"/>
      <c r="F17" s="88"/>
      <c r="G17" s="88"/>
      <c r="H17" s="91"/>
      <c r="I17" s="91"/>
      <c r="J17" s="91"/>
      <c r="K17" s="91"/>
      <c r="L17" s="91"/>
      <c r="M17" s="88"/>
      <c r="N17" s="137"/>
    </row>
    <row r="18" spans="2:14" ht="45" customHeight="1">
      <c r="B18" s="103"/>
      <c r="C18" s="83" t="str">
        <f>IFERROR(VLOOKUP(B18, Base_numéro!A:B, 2, FALSE), "")</f>
        <v/>
      </c>
      <c r="D18" s="91"/>
      <c r="E18" s="91"/>
      <c r="F18" s="88"/>
      <c r="G18" s="88"/>
      <c r="H18" s="91"/>
      <c r="I18" s="91"/>
      <c r="J18" s="91"/>
      <c r="K18" s="91"/>
      <c r="L18" s="91"/>
      <c r="M18" s="88"/>
      <c r="N18" s="137"/>
    </row>
    <row r="19" spans="2:14" ht="45" customHeight="1">
      <c r="B19" s="103"/>
      <c r="C19" s="83" t="str">
        <f>IFERROR(VLOOKUP(B19, Base_numéro!A:B, 2, FALSE), "")</f>
        <v/>
      </c>
      <c r="D19" s="91"/>
      <c r="E19" s="91"/>
      <c r="F19" s="88"/>
      <c r="G19" s="88"/>
      <c r="H19" s="91"/>
      <c r="I19" s="91"/>
      <c r="J19" s="91"/>
      <c r="K19" s="91"/>
      <c r="L19" s="91"/>
      <c r="M19" s="88"/>
      <c r="N19" s="137"/>
    </row>
    <row r="20" spans="2:14" ht="45" customHeight="1">
      <c r="B20" s="103"/>
      <c r="C20" s="83" t="str">
        <f>IFERROR(VLOOKUP(B20, Base_numéro!A:B, 2, FALSE), "")</f>
        <v/>
      </c>
      <c r="D20" s="91"/>
      <c r="E20" s="91"/>
      <c r="F20" s="88"/>
      <c r="G20" s="88"/>
      <c r="H20" s="91"/>
      <c r="I20" s="91"/>
      <c r="J20" s="91"/>
      <c r="K20" s="91"/>
      <c r="L20" s="91"/>
      <c r="M20" s="88"/>
      <c r="N20" s="137"/>
    </row>
  </sheetData>
  <sheetProtection algorithmName="SHA-512" hashValue="eWamxlniPy5UAWWK5kV/CmKBORVQJYY1NwAWMz9hTgkm7NcWOg0i0y9rGB4/suVfg5FD66En6SvkuX93ORa+Cw==" saltValue="S5fi4Ydyndgr7VOZEjb8+g==" spinCount="100000" sheet="1" objects="1" scenarios="1" formatCells="0" formatColumns="0" formatRows="0" insertRows="0" deleteRows="0" sort="0" autoFilter="0"/>
  <mergeCells count="1">
    <mergeCell ref="B3:N3"/>
  </mergeCells>
  <pageMargins left="0.7" right="0.7" top="0.75" bottom="0.75" header="0.3" footer="0.3"/>
  <pageSetup paperSize="9" orientation="portrait" horizontalDpi="200" verticalDpi="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C890E17C-AAAA-4D25-80E8-9C3C08CC72CB}">
          <x14:formula1>
            <xm:f>'Base Janvier'!$A$2:$A$22</xm:f>
          </x14:formula1>
          <xm:sqref>B21:B1048576</xm:sqref>
        </x14:dataValidation>
        <x14:dataValidation type="list" allowBlank="1" showInputMessage="1" showErrorMessage="1" xr:uid="{4479906A-03A7-412C-8C0E-3A719804A2CE}">
          <x14:formula1>
            <xm:f>'Base Janvier'!$E$2:$E$24</xm:f>
          </x14:formula1>
          <xm:sqref>L1:L2 L21:L1048576 N5:N6</xm:sqref>
        </x14:dataValidation>
        <x14:dataValidation type="list" allowBlank="1" showInputMessage="1" showErrorMessage="1" xr:uid="{23732614-5B24-460B-9B77-6AB68C448098}">
          <x14:formula1>
            <xm:f>'Base Mois'!$A$2:$A$13</xm:f>
          </x14:formula1>
          <xm:sqref>B3</xm:sqref>
        </x14:dataValidation>
        <x14:dataValidation type="list" allowBlank="1" showInputMessage="1" showErrorMessage="1" xr:uid="{0701EB67-8CED-44F0-8D54-F0F591172B14}">
          <x14:formula1>
            <xm:f>'Base Janvier'!$A$2:$A$15</xm:f>
          </x14:formula1>
          <xm:sqref>B1</xm:sqref>
        </x14:dataValidation>
        <x14:dataValidation type="list" allowBlank="1" showInputMessage="1" showErrorMessage="1" xr:uid="{69FE51D6-F4CF-4A4E-9601-291F9FEE015E}">
          <x14:formula1>
            <xm:f>'Base Mai'!$E$2:$E$24</xm:f>
          </x14:formula1>
          <xm:sqref>N7</xm:sqref>
        </x14:dataValidation>
        <x14:dataValidation type="list" allowBlank="1" showInputMessage="1" showErrorMessage="1" xr:uid="{B0B8EA5D-7380-4B84-85F8-87C6C476C4C8}">
          <x14:formula1>
            <xm:f>'Base Juin'!$A$2:$A$22</xm:f>
          </x14:formula1>
          <xm:sqref>B5:B20</xm:sqref>
        </x14:dataValidation>
        <x14:dataValidation type="list" allowBlank="1" showInputMessage="1" showErrorMessage="1" xr:uid="{2FE9895E-3652-4B37-9FA8-CA37375DA54B}">
          <x14:formula1>
            <xm:f>'Base Juin'!$E$2:$E$24</xm:f>
          </x14:formula1>
          <xm:sqref>N10:N20 N8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26A1-C8C2-479E-99E4-EC5F18322A68}">
  <dimension ref="A1:H24"/>
  <sheetViews>
    <sheetView zoomScaleNormal="100" workbookViewId="0">
      <selection activeCell="E15" sqref="E15"/>
    </sheetView>
  </sheetViews>
  <sheetFormatPr defaultColWidth="11.42578125" defaultRowHeight="15"/>
  <cols>
    <col min="1" max="1" width="36" bestFit="1" customWidth="1"/>
    <col min="2" max="2" width="42.5703125" bestFit="1" customWidth="1"/>
    <col min="4" max="4" width="14.85546875" customWidth="1"/>
    <col min="5" max="5" width="24.7109375" customWidth="1"/>
  </cols>
  <sheetData>
    <row r="1" spans="1:8" ht="30.75" thickBot="1">
      <c r="A1" s="6" t="s">
        <v>94</v>
      </c>
      <c r="B1" s="12" t="s">
        <v>95</v>
      </c>
      <c r="C1" s="2" t="s">
        <v>96</v>
      </c>
      <c r="D1" s="2" t="s">
        <v>97</v>
      </c>
      <c r="E1" s="6" t="s">
        <v>98</v>
      </c>
    </row>
    <row r="2" spans="1:8" ht="19.5" thickBot="1">
      <c r="A2" s="16" t="str">
        <f t="shared" ref="A2:A22" si="0">IF(D2&gt;0,B2," ")</f>
        <v>BEW170 - HUAWEI Mobile 4G</v>
      </c>
      <c r="B2" s="14" t="s">
        <v>65</v>
      </c>
      <c r="C2" s="5">
        <v>1</v>
      </c>
      <c r="D2" s="5">
        <f>C2-(COUNTIF(Juillet!$N$5:$N$75,'Base Juillet'!E2))</f>
        <v>1</v>
      </c>
      <c r="E2" s="17" t="s">
        <v>99</v>
      </c>
    </row>
    <row r="3" spans="1:8" ht="19.5" thickBot="1">
      <c r="A3" s="16" t="str">
        <f t="shared" si="0"/>
        <v>BEW172 - HUAWEI Mobile 4G</v>
      </c>
      <c r="B3" s="15" t="s">
        <v>67</v>
      </c>
      <c r="C3" s="5">
        <v>1</v>
      </c>
      <c r="D3" s="5">
        <f>C3-(COUNTIF(Juillet!$N$5:$N$75,'Base Juillet'!E3))</f>
        <v>1</v>
      </c>
      <c r="E3" s="18" t="s">
        <v>100</v>
      </c>
      <c r="H3" s="1"/>
    </row>
    <row r="4" spans="1:8" ht="19.5" thickBot="1">
      <c r="A4" s="16" t="str">
        <f t="shared" si="0"/>
        <v>TLP1462 - iPhone 5S</v>
      </c>
      <c r="B4" s="15" t="s">
        <v>68</v>
      </c>
      <c r="C4" s="5">
        <v>1</v>
      </c>
      <c r="D4" s="5">
        <f>C4-(COUNTIF(Juillet!$N$5:$N$75,'Base Juillet'!E4))</f>
        <v>1</v>
      </c>
      <c r="E4" s="18" t="s">
        <v>101</v>
      </c>
    </row>
    <row r="5" spans="1:8" ht="19.5" thickBot="1">
      <c r="A5" s="16" t="str">
        <f t="shared" si="0"/>
        <v xml:space="preserve"> </v>
      </c>
      <c r="B5" s="14" t="s">
        <v>69</v>
      </c>
      <c r="C5" s="5">
        <v>1</v>
      </c>
      <c r="D5" s="5">
        <f>C5-(COUNTIF(Juillet!$N$5:$N$75,'Base Juillet'!E5))</f>
        <v>0</v>
      </c>
      <c r="E5" s="17" t="s">
        <v>102</v>
      </c>
    </row>
    <row r="6" spans="1:8" ht="19.5" thickBot="1">
      <c r="A6" s="16" t="str">
        <f t="shared" si="0"/>
        <v>TLP1733 - Crosscall  Spider X-1</v>
      </c>
      <c r="B6" s="15" t="s">
        <v>70</v>
      </c>
      <c r="C6" s="5">
        <v>1</v>
      </c>
      <c r="D6" s="5">
        <f>C6-(COUNTIF(Juillet!$N$5:$N$75,'Base Juillet'!E6))</f>
        <v>1</v>
      </c>
      <c r="E6" s="18" t="s">
        <v>103</v>
      </c>
    </row>
    <row r="7" spans="1:8" ht="19.5" thickBot="1">
      <c r="A7" s="16" t="str">
        <f t="shared" si="0"/>
        <v>TLP1734 - Crosscall  Spider X-1</v>
      </c>
      <c r="B7" s="14" t="s">
        <v>71</v>
      </c>
      <c r="C7" s="5">
        <v>1</v>
      </c>
      <c r="D7" s="5">
        <f>C7-(COUNTIF(Juillet!$N$5:$N$75,'Base Juillet'!E7))</f>
        <v>1</v>
      </c>
      <c r="E7" s="17" t="s">
        <v>104</v>
      </c>
    </row>
    <row r="8" spans="1:8" ht="19.5" thickBot="1">
      <c r="A8" s="16" t="str">
        <f t="shared" si="0"/>
        <v>TLP1735 - Crosscall  Spider X-1</v>
      </c>
      <c r="B8" s="15" t="s">
        <v>72</v>
      </c>
      <c r="C8" s="5">
        <v>1</v>
      </c>
      <c r="D8" s="5">
        <f>C8-(COUNTIF(Juillet!$N$5:$N$75,'Base Juillet'!E8))</f>
        <v>1</v>
      </c>
      <c r="E8" s="18" t="s">
        <v>105</v>
      </c>
    </row>
    <row r="9" spans="1:8" ht="19.5" thickBot="1">
      <c r="A9" s="16" t="str">
        <f t="shared" si="0"/>
        <v>TLP1736 - Crosscall  Spider X-1</v>
      </c>
      <c r="B9" s="14" t="s">
        <v>73</v>
      </c>
      <c r="C9" s="5">
        <v>1</v>
      </c>
      <c r="D9" s="5">
        <f>C9-(COUNTIF(Juillet!$N$5:$N$75,'Base Juillet'!E9))</f>
        <v>1</v>
      </c>
      <c r="E9" s="17" t="s">
        <v>106</v>
      </c>
    </row>
    <row r="10" spans="1:8" ht="19.5" thickBot="1">
      <c r="A10" s="16" t="str">
        <f t="shared" si="0"/>
        <v xml:space="preserve"> </v>
      </c>
      <c r="B10" s="15" t="s">
        <v>74</v>
      </c>
      <c r="C10" s="5">
        <v>1</v>
      </c>
      <c r="D10" s="5">
        <f>C10-(COUNTIF(Juillet!$N$5:$N$75,'Base Juillet'!E10))</f>
        <v>0</v>
      </c>
      <c r="E10" s="18" t="s">
        <v>107</v>
      </c>
    </row>
    <row r="11" spans="1:8" ht="19.5" thickBot="1">
      <c r="A11" s="16" t="str">
        <f t="shared" si="0"/>
        <v>TLP1862 - Mission Sensible</v>
      </c>
      <c r="B11" s="13" t="s">
        <v>75</v>
      </c>
      <c r="C11" s="5">
        <v>1</v>
      </c>
      <c r="D11" s="5">
        <f>C11-(COUNTIF(Juillet!$N$5:$N$75,'Base Juillet'!E11))</f>
        <v>1</v>
      </c>
      <c r="E11" s="19" t="s">
        <v>108</v>
      </c>
    </row>
    <row r="12" spans="1:8" ht="19.5" thickBot="1">
      <c r="A12" s="16" t="str">
        <f t="shared" si="0"/>
        <v>TLP1866 - Mission Sensible</v>
      </c>
      <c r="B12" s="13" t="s">
        <v>76</v>
      </c>
      <c r="C12" s="5">
        <v>1</v>
      </c>
      <c r="D12" s="5">
        <f>C12-(COUNTIF(Juillet!$N$5:$N$75,'Base Juillet'!E12))</f>
        <v>1</v>
      </c>
      <c r="E12" s="19" t="s">
        <v>109</v>
      </c>
    </row>
    <row r="13" spans="1:8" ht="19.5" thickBot="1">
      <c r="A13" s="16" t="str">
        <f t="shared" si="0"/>
        <v>TLP1872 - Mission Sensible</v>
      </c>
      <c r="B13" s="13" t="s">
        <v>77</v>
      </c>
      <c r="C13" s="5">
        <v>1</v>
      </c>
      <c r="D13" s="5">
        <f>C13-(COUNTIF(Juillet!$N$5:$N$75,'Base Juillet'!E13))</f>
        <v>1</v>
      </c>
      <c r="E13" s="19" t="s">
        <v>110</v>
      </c>
    </row>
    <row r="14" spans="1:8" ht="19.5" thickBot="1">
      <c r="A14" s="16" t="str">
        <f t="shared" si="0"/>
        <v>TLP1878 - iPhone 7 - 10GB Data</v>
      </c>
      <c r="B14" s="14" t="s">
        <v>79</v>
      </c>
      <c r="C14" s="5">
        <v>1</v>
      </c>
      <c r="D14" s="5">
        <f>C14-(COUNTIF(Juillet!$N$5:$N$75,'Base Juillet'!E14))</f>
        <v>1</v>
      </c>
      <c r="E14" s="17" t="s">
        <v>111</v>
      </c>
    </row>
    <row r="15" spans="1:8" ht="19.5" thickBot="1">
      <c r="A15" s="16" t="str">
        <f t="shared" si="0"/>
        <v>TLP1894 - Mission Sensible</v>
      </c>
      <c r="B15" s="13" t="s">
        <v>80</v>
      </c>
      <c r="C15" s="5">
        <v>1</v>
      </c>
      <c r="D15" s="5">
        <f>C15-(COUNTIF(Juillet!$N$5:$N$75,'Base Juillet'!E15))</f>
        <v>1</v>
      </c>
      <c r="E15" s="19" t="s">
        <v>112</v>
      </c>
    </row>
    <row r="16" spans="1:8" ht="19.5" thickBot="1">
      <c r="A16" s="16" t="str">
        <f t="shared" si="0"/>
        <v>TLP1903 - Mission Sensible</v>
      </c>
      <c r="B16" s="13" t="s">
        <v>81</v>
      </c>
      <c r="C16" s="5">
        <v>1</v>
      </c>
      <c r="D16" s="5">
        <f>C16-(COUNTIF(Juillet!$N$5:$N$75,'Base Juillet'!E16))</f>
        <v>1</v>
      </c>
      <c r="E16" s="19" t="s">
        <v>113</v>
      </c>
    </row>
    <row r="17" spans="1:5" ht="19.5" thickBot="1">
      <c r="A17" s="16" t="str">
        <f t="shared" si="0"/>
        <v>TLP1904 - Mission Sensible</v>
      </c>
      <c r="B17" s="13" t="s">
        <v>83</v>
      </c>
      <c r="C17" s="5">
        <v>1</v>
      </c>
      <c r="D17" s="5">
        <f>C17-(COUNTIF(Juillet!$N$5:$N$75,'Base Juillet'!E17))</f>
        <v>1</v>
      </c>
      <c r="E17" s="19" t="s">
        <v>114</v>
      </c>
    </row>
    <row r="18" spans="1:5" ht="19.5" thickBot="1">
      <c r="A18" s="16" t="str">
        <f t="shared" si="0"/>
        <v>TLP2181 - Crosscall  Spider X-5</v>
      </c>
      <c r="B18" s="14" t="s">
        <v>85</v>
      </c>
      <c r="C18" s="5">
        <v>1</v>
      </c>
      <c r="D18" s="5">
        <f>C18-(COUNTIF(Juillet!$N$5:$N$75,'Base Juillet'!E18))</f>
        <v>1</v>
      </c>
      <c r="E18" s="17" t="s">
        <v>115</v>
      </c>
    </row>
    <row r="19" spans="1:5" ht="19.5" thickBot="1">
      <c r="A19" s="16" t="str">
        <f t="shared" si="0"/>
        <v>TLP2183 - Crosscall  Spider X-5</v>
      </c>
      <c r="B19" s="15" t="s">
        <v>87</v>
      </c>
      <c r="C19" s="5">
        <v>1</v>
      </c>
      <c r="D19" s="5">
        <f>C19-(COUNTIF(Juillet!$N$5:$N$75,'Base Juillet'!E19))</f>
        <v>1</v>
      </c>
      <c r="E19" s="18" t="s">
        <v>116</v>
      </c>
    </row>
    <row r="20" spans="1:5" ht="19.5" thickBot="1">
      <c r="A20" s="16" t="str">
        <f t="shared" si="0"/>
        <v>TLP2184 - Crosscall  Spider X-5</v>
      </c>
      <c r="B20" s="14" t="s">
        <v>89</v>
      </c>
      <c r="C20" s="5">
        <v>1</v>
      </c>
      <c r="D20" s="5">
        <f>C20-(COUNTIF(Juillet!$N$5:$N$75,'Base Juillet'!E20))</f>
        <v>1</v>
      </c>
      <c r="E20" s="17" t="s">
        <v>117</v>
      </c>
    </row>
    <row r="21" spans="1:5" ht="19.5" thickBot="1">
      <c r="A21" s="16" t="str">
        <f t="shared" si="0"/>
        <v>TLP2196 - CROSSCALL CORE M5</v>
      </c>
      <c r="B21" s="14" t="s">
        <v>90</v>
      </c>
      <c r="C21" s="5">
        <v>1</v>
      </c>
      <c r="D21" s="5">
        <f>C21-(COUNTIF(Juillet!$N$5:$N$75,'Base Juillet'!E21))</f>
        <v>1</v>
      </c>
      <c r="E21" s="17" t="s">
        <v>118</v>
      </c>
    </row>
    <row r="22" spans="1:5" ht="19.5" thickBot="1">
      <c r="A22" s="16" t="str">
        <f t="shared" si="0"/>
        <v>TLP2197 - CROSSCALL CORE M5</v>
      </c>
      <c r="B22" s="14" t="s">
        <v>91</v>
      </c>
      <c r="C22" s="5">
        <v>1</v>
      </c>
      <c r="D22" s="5">
        <f>C22-(COUNTIF(Juillet!$N$5:$N$75,'Base Juillet'!E22))</f>
        <v>1</v>
      </c>
      <c r="E22" s="17" t="s">
        <v>119</v>
      </c>
    </row>
    <row r="23" spans="1:5" ht="19.5" thickBot="1">
      <c r="E23" s="7" t="s">
        <v>120</v>
      </c>
    </row>
    <row r="24" spans="1:5" ht="19.5" thickBot="1">
      <c r="E24" s="7" t="s">
        <v>121</v>
      </c>
    </row>
  </sheetData>
  <autoFilter ref="A1:E15" xr:uid="{03156433-8788-4196-A79D-9790F236E9A5}">
    <sortState xmlns:xlrd2="http://schemas.microsoft.com/office/spreadsheetml/2017/richdata2" ref="A2:E24">
      <sortCondition ref="B1:B15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EB2C-9F9C-40EE-9139-93024C4646E4}">
  <dimension ref="B1:N20"/>
  <sheetViews>
    <sheetView showGridLines="0" topLeftCell="B4" zoomScale="70" zoomScaleNormal="70" workbookViewId="0">
      <selection activeCell="N7" sqref="N7"/>
    </sheetView>
  </sheetViews>
  <sheetFormatPr defaultColWidth="11.42578125" defaultRowHeight="15"/>
  <cols>
    <col min="1" max="1" width="0" hidden="1" customWidth="1"/>
    <col min="2" max="2" width="35.42578125" style="84" customWidth="1"/>
    <col min="3" max="3" width="21.7109375" style="84" customWidth="1"/>
    <col min="4" max="4" width="25.7109375" style="84" customWidth="1"/>
    <col min="5" max="5" width="19.5703125" style="84" customWidth="1"/>
    <col min="6" max="6" width="17.7109375" style="84" customWidth="1"/>
    <col min="7" max="7" width="17.28515625" style="84" customWidth="1"/>
    <col min="8" max="8" width="18.7109375" style="84" customWidth="1"/>
    <col min="9" max="9" width="36.42578125" style="84" bestFit="1" customWidth="1"/>
    <col min="10" max="10" width="36.42578125" style="84" customWidth="1"/>
    <col min="11" max="11" width="31.85546875" style="84" customWidth="1"/>
    <col min="12" max="12" width="23" style="84" bestFit="1" customWidth="1"/>
    <col min="13" max="13" width="20.85546875" style="84" bestFit="1" customWidth="1"/>
    <col min="14" max="14" width="21.7109375" style="84" bestFit="1" customWidth="1"/>
  </cols>
  <sheetData>
    <row r="1" spans="2:14" hidden="1">
      <c r="C1"/>
    </row>
    <row r="2" spans="2:14" ht="31.5" hidden="1" customHeight="1">
      <c r="C2" s="4"/>
      <c r="D2" s="101"/>
      <c r="E2" s="101"/>
      <c r="F2" s="101"/>
      <c r="G2" s="101"/>
      <c r="H2" s="101"/>
    </row>
    <row r="3" spans="2:14" ht="28.5">
      <c r="B3" s="286" t="s">
        <v>1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</row>
    <row r="4" spans="2:14" ht="45" customHeight="1">
      <c r="B4" s="102" t="s">
        <v>171</v>
      </c>
      <c r="C4" s="3" t="s">
        <v>123</v>
      </c>
      <c r="D4" s="85" t="s">
        <v>124</v>
      </c>
      <c r="E4" s="85" t="s">
        <v>125</v>
      </c>
      <c r="F4" s="85" t="s">
        <v>126</v>
      </c>
      <c r="G4" s="85" t="s">
        <v>127</v>
      </c>
      <c r="H4" s="85" t="s">
        <v>128</v>
      </c>
      <c r="I4" s="85" t="s">
        <v>129</v>
      </c>
      <c r="J4" s="85" t="s">
        <v>130</v>
      </c>
      <c r="K4" s="85" t="s">
        <v>131</v>
      </c>
      <c r="L4" s="86" t="s">
        <v>132</v>
      </c>
      <c r="M4" s="86" t="s">
        <v>133</v>
      </c>
      <c r="N4" s="87" t="s">
        <v>134</v>
      </c>
    </row>
    <row r="5" spans="2:14" ht="45" customHeight="1">
      <c r="B5" s="106" t="s">
        <v>74</v>
      </c>
      <c r="C5" s="107">
        <f>IFERROR(VLOOKUP(B5, Base_numéro!A:B, 2, FALSE), "")</f>
        <v>620024461</v>
      </c>
      <c r="D5" s="147" t="s">
        <v>140</v>
      </c>
      <c r="E5" s="147" t="s">
        <v>141</v>
      </c>
      <c r="F5" s="145">
        <v>44159</v>
      </c>
      <c r="G5" s="146" t="s">
        <v>54</v>
      </c>
      <c r="H5" s="217" t="s">
        <v>142</v>
      </c>
      <c r="I5" s="147"/>
      <c r="J5" s="147" t="s">
        <v>143</v>
      </c>
      <c r="K5" s="147" t="s">
        <v>144</v>
      </c>
      <c r="L5" s="147"/>
      <c r="M5" s="110" t="s">
        <v>172</v>
      </c>
      <c r="N5" s="132" t="s">
        <v>107</v>
      </c>
    </row>
    <row r="6" spans="2:14" ht="45" customHeight="1">
      <c r="B6" s="106" t="s">
        <v>69</v>
      </c>
      <c r="C6" s="107">
        <f>IFERROR(VLOOKUP(B6, Base_numéro!A:B, 2, FALSE), "")</f>
        <v>612938590</v>
      </c>
      <c r="D6" s="143" t="s">
        <v>135</v>
      </c>
      <c r="E6" s="143" t="s">
        <v>136</v>
      </c>
      <c r="F6" s="144">
        <v>45009</v>
      </c>
      <c r="G6" s="144" t="s">
        <v>137</v>
      </c>
      <c r="H6" s="143"/>
      <c r="I6" s="108"/>
      <c r="J6" s="143" t="s">
        <v>138</v>
      </c>
      <c r="K6" s="143" t="s">
        <v>139</v>
      </c>
      <c r="L6" s="109"/>
      <c r="M6" s="110"/>
      <c r="N6" s="132" t="s">
        <v>102</v>
      </c>
    </row>
    <row r="7" spans="2:14" ht="45" customHeight="1">
      <c r="B7" s="203"/>
      <c r="C7" s="82" t="str">
        <f>IFERROR(VLOOKUP(B7, Base_numéro!A:B, 2, FALSE), "")</f>
        <v/>
      </c>
      <c r="D7" s="204"/>
      <c r="E7" s="93"/>
      <c r="F7" s="205"/>
      <c r="G7" s="206"/>
      <c r="H7" s="93"/>
      <c r="I7" s="93"/>
      <c r="J7" s="93"/>
      <c r="K7" s="204"/>
      <c r="L7" s="93"/>
      <c r="M7" s="91"/>
      <c r="N7" s="207"/>
    </row>
    <row r="8" spans="2:14" ht="45" customHeight="1">
      <c r="B8" s="103"/>
      <c r="C8" s="82" t="str">
        <f>IFERROR(VLOOKUP(B8, Base_numéro!A:B, 2, FALSE), "")</f>
        <v/>
      </c>
      <c r="D8" s="218"/>
      <c r="E8" s="93"/>
      <c r="F8" s="208"/>
      <c r="G8" s="209"/>
      <c r="H8" s="209"/>
      <c r="I8" s="91"/>
      <c r="J8" s="210"/>
      <c r="K8" s="211"/>
      <c r="L8" s="91"/>
      <c r="M8" s="88"/>
      <c r="N8" s="138"/>
    </row>
    <row r="9" spans="2:14" ht="45" customHeight="1">
      <c r="B9" s="203"/>
      <c r="C9" s="83" t="str">
        <f>IFERROR(VLOOKUP(B9, Base_numéro!A:B, 2, FALSE), "")</f>
        <v/>
      </c>
      <c r="D9" s="131"/>
      <c r="E9" s="131"/>
      <c r="F9" s="148"/>
      <c r="G9" s="214"/>
      <c r="H9" s="131"/>
      <c r="I9" s="131"/>
      <c r="J9" s="131"/>
      <c r="K9" s="131"/>
      <c r="L9" s="91"/>
      <c r="M9" s="88"/>
      <c r="N9" s="138"/>
    </row>
    <row r="10" spans="2:14" ht="45" customHeight="1">
      <c r="B10" s="104"/>
      <c r="C10" s="82" t="str">
        <f>IFERROR(VLOOKUP(B10, Base_numéro!A:B, 2, FALSE), "")</f>
        <v/>
      </c>
      <c r="D10" s="123"/>
      <c r="E10" s="91"/>
      <c r="F10" s="94"/>
      <c r="G10" s="94"/>
      <c r="H10" s="93"/>
      <c r="I10" s="123"/>
      <c r="J10" s="202"/>
      <c r="K10" s="123"/>
      <c r="L10" s="122"/>
      <c r="M10" s="130"/>
      <c r="N10" s="139"/>
    </row>
    <row r="11" spans="2:14" ht="45" customHeight="1">
      <c r="B11" s="103"/>
      <c r="C11" s="83" t="str">
        <f>IFERROR(VLOOKUP(B11, Base_numéro!A:B, 2, FALSE), "")</f>
        <v/>
      </c>
      <c r="D11" s="122"/>
      <c r="E11" s="122"/>
      <c r="F11" s="88"/>
      <c r="G11" s="88"/>
      <c r="H11" s="88"/>
      <c r="I11" s="122"/>
      <c r="J11" s="122"/>
      <c r="K11" s="122"/>
      <c r="L11" s="122"/>
      <c r="M11" s="129"/>
      <c r="N11" s="137"/>
    </row>
    <row r="12" spans="2:14" ht="45" customHeight="1">
      <c r="B12" s="103"/>
      <c r="C12" s="83" t="str">
        <f>IFERROR(VLOOKUP(B12, Base_numéro!A:B, 2, FALSE), "")</f>
        <v/>
      </c>
      <c r="D12" s="122"/>
      <c r="E12" s="122"/>
      <c r="F12" s="88"/>
      <c r="G12" s="88"/>
      <c r="H12" s="91"/>
      <c r="I12" s="122"/>
      <c r="J12" s="122"/>
      <c r="K12" s="122"/>
      <c r="L12" s="122"/>
      <c r="M12" s="129"/>
      <c r="N12" s="137"/>
    </row>
    <row r="13" spans="2:14" ht="45" customHeight="1">
      <c r="B13" s="103"/>
      <c r="C13" s="83" t="str">
        <f>IFERROR(VLOOKUP(B13, Base_numéro!A:B, 2, FALSE), "")</f>
        <v/>
      </c>
      <c r="D13" s="122"/>
      <c r="E13" s="122"/>
      <c r="F13" s="88"/>
      <c r="G13" s="88"/>
      <c r="H13" s="91"/>
      <c r="I13" s="122"/>
      <c r="J13" s="122"/>
      <c r="K13" s="122"/>
      <c r="L13" s="122"/>
      <c r="M13" s="129"/>
      <c r="N13" s="137"/>
    </row>
    <row r="14" spans="2:14" ht="45" customHeight="1">
      <c r="B14" s="103"/>
      <c r="C14" s="83" t="str">
        <f>IFERROR(VLOOKUP(B14, Base_numéro!A:B, 2, FALSE), "")</f>
        <v/>
      </c>
      <c r="D14" s="122"/>
      <c r="E14" s="122"/>
      <c r="F14" s="88"/>
      <c r="G14" s="88"/>
      <c r="H14" s="91"/>
      <c r="I14" s="122"/>
      <c r="J14" s="122"/>
      <c r="K14" s="122"/>
      <c r="L14" s="122"/>
      <c r="M14" s="129"/>
      <c r="N14" s="137"/>
    </row>
    <row r="15" spans="2:14" ht="45" customHeight="1">
      <c r="B15" s="103"/>
      <c r="C15" s="83" t="str">
        <f>IFERROR(VLOOKUP(B15, Base_numéro!A:B, 2, FALSE), "")</f>
        <v/>
      </c>
      <c r="D15" s="122"/>
      <c r="E15" s="122"/>
      <c r="F15" s="88"/>
      <c r="G15" s="88"/>
      <c r="H15" s="91"/>
      <c r="I15" s="122"/>
      <c r="J15" s="122"/>
      <c r="K15" s="122"/>
      <c r="L15" s="122"/>
      <c r="M15" s="129"/>
      <c r="N15" s="137"/>
    </row>
    <row r="16" spans="2:14" ht="45" customHeight="1">
      <c r="B16" s="103"/>
      <c r="C16" s="83" t="str">
        <f>IFERROR(VLOOKUP(B16, Base_numéro!A:B, 2, FALSE), "")</f>
        <v/>
      </c>
      <c r="D16" s="122"/>
      <c r="E16" s="122"/>
      <c r="F16" s="88"/>
      <c r="G16" s="88"/>
      <c r="H16" s="91"/>
      <c r="I16" s="122"/>
      <c r="J16" s="122"/>
      <c r="K16" s="122"/>
      <c r="L16" s="122"/>
      <c r="M16" s="129"/>
      <c r="N16" s="137"/>
    </row>
    <row r="17" spans="2:14" ht="45" customHeight="1">
      <c r="B17" s="103"/>
      <c r="C17" s="83" t="str">
        <f>IFERROR(VLOOKUP(B17, Base_numéro!A:B, 2, FALSE), "")</f>
        <v/>
      </c>
      <c r="D17" s="122"/>
      <c r="E17" s="122"/>
      <c r="F17" s="88"/>
      <c r="G17" s="88"/>
      <c r="H17" s="91"/>
      <c r="I17" s="122"/>
      <c r="J17" s="122"/>
      <c r="K17" s="122"/>
      <c r="L17" s="122"/>
      <c r="M17" s="129"/>
      <c r="N17" s="137"/>
    </row>
    <row r="18" spans="2:14" ht="45" customHeight="1">
      <c r="B18" s="103"/>
      <c r="C18" s="83" t="str">
        <f>IFERROR(VLOOKUP(B18, Base_numéro!A:B, 2, FALSE), "")</f>
        <v/>
      </c>
      <c r="D18" s="122"/>
      <c r="E18" s="122"/>
      <c r="F18" s="88"/>
      <c r="G18" s="88"/>
      <c r="H18" s="91"/>
      <c r="I18" s="122"/>
      <c r="J18" s="122"/>
      <c r="K18" s="122"/>
      <c r="L18" s="122"/>
      <c r="M18" s="129"/>
      <c r="N18" s="137"/>
    </row>
    <row r="19" spans="2:14" ht="45" customHeight="1">
      <c r="B19" s="103"/>
      <c r="C19" s="83" t="str">
        <f>IFERROR(VLOOKUP(B19, Base_numéro!A:B, 2, FALSE), "")</f>
        <v/>
      </c>
      <c r="D19" s="122"/>
      <c r="E19" s="122"/>
      <c r="F19" s="88"/>
      <c r="G19" s="88"/>
      <c r="H19" s="91"/>
      <c r="I19" s="122"/>
      <c r="J19" s="122"/>
      <c r="K19" s="122"/>
      <c r="L19" s="122"/>
      <c r="M19" s="129"/>
      <c r="N19" s="137"/>
    </row>
    <row r="20" spans="2:14" ht="45" customHeight="1">
      <c r="B20" s="103"/>
      <c r="C20" s="83" t="str">
        <f>IFERROR(VLOOKUP(B20, Base_numéro!A:B, 2, FALSE), "")</f>
        <v/>
      </c>
      <c r="D20" s="122"/>
      <c r="E20" s="122"/>
      <c r="F20" s="88"/>
      <c r="G20" s="88"/>
      <c r="H20" s="91"/>
      <c r="I20" s="122"/>
      <c r="J20" s="122"/>
      <c r="K20" s="122"/>
      <c r="L20" s="122"/>
      <c r="M20" s="129"/>
      <c r="N20" s="137"/>
    </row>
  </sheetData>
  <sheetProtection algorithmName="SHA-512" hashValue="xEZxAZDnyX3HDSczzJDLkbZF722NgNxsZO3i/ta48Cb0dIUX1+F7QfigOcVqiaNRIzd3Kwdd9bbAi5fZeglEQg==" saltValue="nX0jRnUASbUMu+AzxOvGhg==" spinCount="100000" sheet="1" objects="1" scenarios="1" formatCells="0" formatColumns="0" formatRows="0" insertRows="0" deleteRows="0" sort="0" autoFilter="0"/>
  <mergeCells count="1">
    <mergeCell ref="B3:N3"/>
  </mergeCells>
  <pageMargins left="0.7" right="0.7" top="0.75" bottom="0.75" header="0.3" footer="0.3"/>
  <pageSetup paperSize="9" orientation="portrait" horizontalDpi="200" verticalDpi="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73F93F3-5012-4545-A561-44204513780E}">
          <x14:formula1>
            <xm:f>'Base Juillet'!$E$2:$E$24</xm:f>
          </x14:formula1>
          <xm:sqref>N9:N20</xm:sqref>
        </x14:dataValidation>
        <x14:dataValidation type="list" allowBlank="1" showInputMessage="1" showErrorMessage="1" xr:uid="{586E2A82-7658-4EB0-8E4A-A74A02E1DB65}">
          <x14:formula1>
            <xm:f>'Base Juillet'!$A$2:$A$22</xm:f>
          </x14:formula1>
          <xm:sqref>B5:B20</xm:sqref>
        </x14:dataValidation>
        <x14:dataValidation type="list" allowBlank="1" showInputMessage="1" showErrorMessage="1" xr:uid="{6EB86429-0462-4922-A887-3821A7A28C81}">
          <x14:formula1>
            <xm:f>'Base Janvier'!$A$2:$A$15</xm:f>
          </x14:formula1>
          <xm:sqref>B1</xm:sqref>
        </x14:dataValidation>
        <x14:dataValidation type="list" allowBlank="1" showInputMessage="1" showErrorMessage="1" xr:uid="{F9346C05-9B63-4612-AADF-9B292347D4ED}">
          <x14:formula1>
            <xm:f>'Base Mois'!$A$2:$A$13</xm:f>
          </x14:formula1>
          <xm:sqref>B3</xm:sqref>
        </x14:dataValidation>
        <x14:dataValidation type="list" allowBlank="1" showInputMessage="1" showErrorMessage="1" xr:uid="{2EF763AD-E647-4C02-BE38-91AB2608F7B0}">
          <x14:formula1>
            <xm:f>'Base Janvier'!$E$2:$E$24</xm:f>
          </x14:formula1>
          <xm:sqref>L1:L2 L21:L1048576 N5:N6</xm:sqref>
        </x14:dataValidation>
        <x14:dataValidation type="list" allowBlank="1" showInputMessage="1" showErrorMessage="1" xr:uid="{C5137F34-6DDF-44CE-9F80-D0A550DA30B8}">
          <x14:formula1>
            <xm:f>'Base Janvier'!$A$2:$A$22</xm:f>
          </x14:formula1>
          <xm:sqref>B21:B1048576</xm:sqref>
        </x14:dataValidation>
        <x14:dataValidation type="list" allowBlank="1" showInputMessage="1" showErrorMessage="1" xr:uid="{510EFCDA-DDF8-46AC-9562-519CCC72793E}">
          <x14:formula1>
            <xm:f>'Base Mai'!$E$2:$E$24</xm:f>
          </x14:formula1>
          <xm:sqref>N7</xm:sqref>
        </x14:dataValidation>
        <x14:dataValidation type="list" allowBlank="1" showInputMessage="1" showErrorMessage="1" xr:uid="{34979CFC-1C28-430F-99AB-96EAA52AD146}">
          <x14:formula1>
            <xm:f>'Base Juin'!$E$2:$E$24</xm:f>
          </x14:formula1>
          <xm:sqref>N8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BA24-DBDE-49B3-B57C-5EA42642ED75}">
  <dimension ref="A1:H24"/>
  <sheetViews>
    <sheetView zoomScaleNormal="100" workbookViewId="0">
      <selection activeCell="E15" sqref="E15"/>
    </sheetView>
  </sheetViews>
  <sheetFormatPr defaultColWidth="11.42578125" defaultRowHeight="15"/>
  <cols>
    <col min="1" max="1" width="36" bestFit="1" customWidth="1"/>
    <col min="2" max="2" width="42.5703125" bestFit="1" customWidth="1"/>
    <col min="4" max="4" width="14.85546875" customWidth="1"/>
    <col min="5" max="5" width="24.7109375" customWidth="1"/>
  </cols>
  <sheetData>
    <row r="1" spans="1:8" ht="30.75" thickBot="1">
      <c r="A1" s="6" t="s">
        <v>94</v>
      </c>
      <c r="B1" s="12" t="s">
        <v>95</v>
      </c>
      <c r="C1" s="2" t="s">
        <v>96</v>
      </c>
      <c r="D1" s="2" t="s">
        <v>97</v>
      </c>
      <c r="E1" s="6" t="s">
        <v>98</v>
      </c>
    </row>
    <row r="2" spans="1:8" ht="19.5" thickBot="1">
      <c r="A2" s="16" t="str">
        <f t="shared" ref="A2:A22" si="0">IF(D2&gt;0,B2," ")</f>
        <v>BEW170 - HUAWEI Mobile 4G</v>
      </c>
      <c r="B2" s="14" t="s">
        <v>65</v>
      </c>
      <c r="C2" s="5">
        <v>1</v>
      </c>
      <c r="D2" s="5">
        <f>C2-(COUNTIF(Août!$N$5:$N$75,'Base Août'!E2))</f>
        <v>1</v>
      </c>
      <c r="E2" s="17" t="s">
        <v>99</v>
      </c>
    </row>
    <row r="3" spans="1:8" ht="19.5" thickBot="1">
      <c r="A3" s="16" t="str">
        <f t="shared" si="0"/>
        <v>BEW172 - HUAWEI Mobile 4G</v>
      </c>
      <c r="B3" s="15" t="s">
        <v>67</v>
      </c>
      <c r="C3" s="5">
        <v>1</v>
      </c>
      <c r="D3" s="5">
        <f>C3-(COUNTIF(Août!$N$5:$N$75,'Base Août'!E3))</f>
        <v>1</v>
      </c>
      <c r="E3" s="18" t="s">
        <v>100</v>
      </c>
      <c r="H3" s="1"/>
    </row>
    <row r="4" spans="1:8" ht="19.5" thickBot="1">
      <c r="A4" s="16" t="str">
        <f t="shared" si="0"/>
        <v>TLP1462 - iPhone 5S</v>
      </c>
      <c r="B4" s="15" t="s">
        <v>68</v>
      </c>
      <c r="C4" s="5">
        <v>1</v>
      </c>
      <c r="D4" s="5">
        <f>C4-(COUNTIF(Août!$N$5:$N$75,'Base Août'!E4))</f>
        <v>1</v>
      </c>
      <c r="E4" s="18" t="s">
        <v>101</v>
      </c>
    </row>
    <row r="5" spans="1:8" ht="19.5" thickBot="1">
      <c r="A5" s="16" t="str">
        <f t="shared" si="0"/>
        <v xml:space="preserve"> </v>
      </c>
      <c r="B5" s="14" t="s">
        <v>69</v>
      </c>
      <c r="C5" s="5">
        <v>1</v>
      </c>
      <c r="D5" s="5">
        <f>C5-(COUNTIF(Août!$N$5:$N$75,'Base Août'!E5))</f>
        <v>0</v>
      </c>
      <c r="E5" s="17" t="s">
        <v>102</v>
      </c>
    </row>
    <row r="6" spans="1:8" ht="19.5" thickBot="1">
      <c r="A6" s="16" t="str">
        <f t="shared" si="0"/>
        <v>TLP1733 - Crosscall  Spider X-1</v>
      </c>
      <c r="B6" s="15" t="s">
        <v>70</v>
      </c>
      <c r="C6" s="5">
        <v>1</v>
      </c>
      <c r="D6" s="5">
        <f>C6-(COUNTIF(Août!$N$5:$N$75,'Base Août'!E6))</f>
        <v>1</v>
      </c>
      <c r="E6" s="18" t="s">
        <v>103</v>
      </c>
    </row>
    <row r="7" spans="1:8" ht="19.5" thickBot="1">
      <c r="A7" s="16" t="str">
        <f t="shared" si="0"/>
        <v>TLP1734 - Crosscall  Spider X-1</v>
      </c>
      <c r="B7" s="14" t="s">
        <v>71</v>
      </c>
      <c r="C7" s="5">
        <v>1</v>
      </c>
      <c r="D7" s="5">
        <f>C7-(COUNTIF(Août!$N$5:$N$75,'Base Août'!E7))</f>
        <v>1</v>
      </c>
      <c r="E7" s="17" t="s">
        <v>104</v>
      </c>
    </row>
    <row r="8" spans="1:8" ht="19.5" thickBot="1">
      <c r="A8" s="16" t="str">
        <f t="shared" si="0"/>
        <v>TLP1735 - Crosscall  Spider X-1</v>
      </c>
      <c r="B8" s="15" t="s">
        <v>72</v>
      </c>
      <c r="C8" s="5">
        <v>1</v>
      </c>
      <c r="D8" s="5">
        <f>C8-(COUNTIF(Août!$N$5:$N$75,'Base Août'!E8))</f>
        <v>1</v>
      </c>
      <c r="E8" s="18" t="s">
        <v>105</v>
      </c>
    </row>
    <row r="9" spans="1:8" ht="19.5" thickBot="1">
      <c r="A9" s="16" t="str">
        <f t="shared" si="0"/>
        <v>TLP1736 - Crosscall  Spider X-1</v>
      </c>
      <c r="B9" s="14" t="s">
        <v>73</v>
      </c>
      <c r="C9" s="5">
        <v>1</v>
      </c>
      <c r="D9" s="5">
        <f>C9-(COUNTIF(Août!$N$5:$N$75,'Base Août'!E9))</f>
        <v>1</v>
      </c>
      <c r="E9" s="17" t="s">
        <v>106</v>
      </c>
    </row>
    <row r="10" spans="1:8" ht="19.5" thickBot="1">
      <c r="A10" s="16" t="str">
        <f t="shared" si="0"/>
        <v xml:space="preserve"> </v>
      </c>
      <c r="B10" s="15" t="s">
        <v>74</v>
      </c>
      <c r="C10" s="5">
        <v>1</v>
      </c>
      <c r="D10" s="5">
        <f>C10-(COUNTIF(Août!$N$5:$N$75,'Base Août'!E10))</f>
        <v>0</v>
      </c>
      <c r="E10" s="18" t="s">
        <v>107</v>
      </c>
    </row>
    <row r="11" spans="1:8" ht="19.5" thickBot="1">
      <c r="A11" s="16" t="str">
        <f t="shared" si="0"/>
        <v>TLP1862 - Mission Sensible</v>
      </c>
      <c r="B11" s="13" t="s">
        <v>75</v>
      </c>
      <c r="C11" s="5">
        <v>1</v>
      </c>
      <c r="D11" s="5">
        <f>C11-(COUNTIF(Août!$N$5:$N$75,'Base Août'!E11))</f>
        <v>1</v>
      </c>
      <c r="E11" s="19" t="s">
        <v>108</v>
      </c>
    </row>
    <row r="12" spans="1:8" ht="19.5" thickBot="1">
      <c r="A12" s="16" t="str">
        <f t="shared" si="0"/>
        <v>TLP1866 - Mission Sensible</v>
      </c>
      <c r="B12" s="13" t="s">
        <v>76</v>
      </c>
      <c r="C12" s="5">
        <v>1</v>
      </c>
      <c r="D12" s="5">
        <f>C12-(COUNTIF(Août!$N$5:$N$75,'Base Août'!E12))</f>
        <v>1</v>
      </c>
      <c r="E12" s="19" t="s">
        <v>109</v>
      </c>
    </row>
    <row r="13" spans="1:8" ht="19.5" thickBot="1">
      <c r="A13" s="16" t="str">
        <f t="shared" si="0"/>
        <v>TLP1872 - Mission Sensible</v>
      </c>
      <c r="B13" s="13" t="s">
        <v>77</v>
      </c>
      <c r="C13" s="5">
        <v>1</v>
      </c>
      <c r="D13" s="5">
        <f>C13-(COUNTIF(Août!$N$5:$N$75,'Base Août'!E13))</f>
        <v>1</v>
      </c>
      <c r="E13" s="19" t="s">
        <v>110</v>
      </c>
    </row>
    <row r="14" spans="1:8" ht="19.5" thickBot="1">
      <c r="A14" s="16" t="str">
        <f t="shared" si="0"/>
        <v>TLP1878 - iPhone 7 - 10GB Data</v>
      </c>
      <c r="B14" s="14" t="s">
        <v>79</v>
      </c>
      <c r="C14" s="5">
        <v>1</v>
      </c>
      <c r="D14" s="5">
        <f>C14-(COUNTIF(Août!$N$5:$N$75,'Base Août'!E14))</f>
        <v>1</v>
      </c>
      <c r="E14" s="17" t="s">
        <v>111</v>
      </c>
    </row>
    <row r="15" spans="1:8" ht="19.5" thickBot="1">
      <c r="A15" s="16" t="str">
        <f t="shared" si="0"/>
        <v>TLP1894 - Mission Sensible</v>
      </c>
      <c r="B15" s="13" t="s">
        <v>80</v>
      </c>
      <c r="C15" s="5">
        <v>1</v>
      </c>
      <c r="D15" s="5">
        <f>C15-(COUNTIF(Août!$N$5:$N$75,'Base Août'!E15))</f>
        <v>1</v>
      </c>
      <c r="E15" s="19" t="s">
        <v>112</v>
      </c>
    </row>
    <row r="16" spans="1:8" ht="19.5" thickBot="1">
      <c r="A16" s="16" t="str">
        <f t="shared" si="0"/>
        <v>TLP1903 - Mission Sensible</v>
      </c>
      <c r="B16" s="13" t="s">
        <v>81</v>
      </c>
      <c r="C16" s="5">
        <v>1</v>
      </c>
      <c r="D16" s="5">
        <f>C16-(COUNTIF(Août!$N$5:$N$75,'Base Août'!E16))</f>
        <v>1</v>
      </c>
      <c r="E16" s="19" t="s">
        <v>113</v>
      </c>
    </row>
    <row r="17" spans="1:5" ht="19.5" thickBot="1">
      <c r="A17" s="16" t="str">
        <f t="shared" si="0"/>
        <v>TLP1904 - Mission Sensible</v>
      </c>
      <c r="B17" s="13" t="s">
        <v>83</v>
      </c>
      <c r="C17" s="5">
        <v>1</v>
      </c>
      <c r="D17" s="5">
        <f>C17-(COUNTIF(Août!$N$5:$N$75,'Base Août'!E17))</f>
        <v>1</v>
      </c>
      <c r="E17" s="19" t="s">
        <v>114</v>
      </c>
    </row>
    <row r="18" spans="1:5" ht="19.5" thickBot="1">
      <c r="A18" s="16" t="str">
        <f t="shared" si="0"/>
        <v>TLP2181 - Crosscall  Spider X-5</v>
      </c>
      <c r="B18" s="14" t="s">
        <v>85</v>
      </c>
      <c r="C18" s="5">
        <v>1</v>
      </c>
      <c r="D18" s="5">
        <f>C18-(COUNTIF(Août!$N$5:$N$75,'Base Août'!E18))</f>
        <v>1</v>
      </c>
      <c r="E18" s="17" t="s">
        <v>115</v>
      </c>
    </row>
    <row r="19" spans="1:5" ht="19.5" thickBot="1">
      <c r="A19" s="16" t="str">
        <f t="shared" si="0"/>
        <v>TLP2183 - Crosscall  Spider X-5</v>
      </c>
      <c r="B19" s="15" t="s">
        <v>87</v>
      </c>
      <c r="C19" s="5">
        <v>1</v>
      </c>
      <c r="D19" s="5">
        <f>C19-(COUNTIF(Août!$N$5:$N$75,'Base Août'!E19))</f>
        <v>1</v>
      </c>
      <c r="E19" s="18" t="s">
        <v>116</v>
      </c>
    </row>
    <row r="20" spans="1:5" ht="19.5" thickBot="1">
      <c r="A20" s="16" t="str">
        <f t="shared" si="0"/>
        <v>TLP2184 - Crosscall  Spider X-5</v>
      </c>
      <c r="B20" s="14" t="s">
        <v>89</v>
      </c>
      <c r="C20" s="5">
        <v>1</v>
      </c>
      <c r="D20" s="5">
        <f>C20-(COUNTIF(Août!$N$5:$N$75,'Base Août'!E20))</f>
        <v>1</v>
      </c>
      <c r="E20" s="17" t="s">
        <v>117</v>
      </c>
    </row>
    <row r="21" spans="1:5" ht="19.5" thickBot="1">
      <c r="A21" s="16" t="str">
        <f t="shared" si="0"/>
        <v>TLP2196 - CROSSCALL CORE M5</v>
      </c>
      <c r="B21" s="14" t="s">
        <v>90</v>
      </c>
      <c r="C21" s="5">
        <v>1</v>
      </c>
      <c r="D21" s="5">
        <f>C21-(COUNTIF(Août!$N$5:$N$75,'Base Août'!E21))</f>
        <v>1</v>
      </c>
      <c r="E21" s="17" t="s">
        <v>118</v>
      </c>
    </row>
    <row r="22" spans="1:5" ht="19.5" thickBot="1">
      <c r="A22" s="16" t="str">
        <f t="shared" si="0"/>
        <v>TLP2197 - CROSSCALL CORE M5</v>
      </c>
      <c r="B22" s="14" t="s">
        <v>91</v>
      </c>
      <c r="C22" s="5">
        <v>1</v>
      </c>
      <c r="D22" s="5">
        <f>C22-(COUNTIF(Août!$N$5:$N$75,'Base Août'!E22))</f>
        <v>1</v>
      </c>
      <c r="E22" s="17" t="s">
        <v>119</v>
      </c>
    </row>
    <row r="23" spans="1:5" ht="19.5" thickBot="1">
      <c r="E23" s="7" t="s">
        <v>120</v>
      </c>
    </row>
    <row r="24" spans="1:5" ht="19.5" thickBot="1">
      <c r="E24" s="7" t="s">
        <v>121</v>
      </c>
    </row>
  </sheetData>
  <autoFilter ref="A1:E15" xr:uid="{03156433-8788-4196-A79D-9790F236E9A5}">
    <sortState xmlns:xlrd2="http://schemas.microsoft.com/office/spreadsheetml/2017/richdata2" ref="A2:E24">
      <sortCondition ref="B1:B15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B3F7-1DE9-4925-A404-480B8575DB39}">
  <dimension ref="B1:N20"/>
  <sheetViews>
    <sheetView showGridLines="0" topLeftCell="B3" zoomScale="70" zoomScaleNormal="70" workbookViewId="0">
      <selection activeCell="E10" sqref="E10:E11"/>
    </sheetView>
  </sheetViews>
  <sheetFormatPr defaultColWidth="11.42578125" defaultRowHeight="15"/>
  <cols>
    <col min="1" max="1" width="0" hidden="1" customWidth="1"/>
    <col min="2" max="2" width="35.42578125" style="84" bestFit="1" customWidth="1"/>
    <col min="3" max="8" width="25.7109375" style="84" customWidth="1"/>
    <col min="9" max="9" width="36.42578125" style="84" bestFit="1" customWidth="1"/>
    <col min="10" max="10" width="36.42578125" style="84" customWidth="1"/>
    <col min="11" max="11" width="31.85546875" style="84" customWidth="1"/>
    <col min="12" max="12" width="23" style="84" bestFit="1" customWidth="1"/>
    <col min="13" max="13" width="20.85546875" style="84" bestFit="1" customWidth="1"/>
    <col min="14" max="14" width="20.140625" style="84" bestFit="1" customWidth="1"/>
  </cols>
  <sheetData>
    <row r="1" spans="2:14" hidden="1">
      <c r="C1"/>
    </row>
    <row r="2" spans="2:14" ht="31.5" hidden="1" customHeight="1">
      <c r="C2" s="4"/>
      <c r="D2" s="101"/>
      <c r="E2" s="101"/>
      <c r="F2" s="101"/>
      <c r="G2" s="101"/>
      <c r="H2" s="101"/>
    </row>
    <row r="3" spans="2:14" ht="28.5">
      <c r="B3" s="286" t="s">
        <v>1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</row>
    <row r="4" spans="2:14" ht="45" customHeight="1">
      <c r="B4" s="102" t="s">
        <v>122</v>
      </c>
      <c r="C4" s="3" t="s">
        <v>123</v>
      </c>
      <c r="D4" s="85" t="s">
        <v>124</v>
      </c>
      <c r="E4" s="85" t="s">
        <v>125</v>
      </c>
      <c r="F4" s="85" t="s">
        <v>126</v>
      </c>
      <c r="G4" s="85" t="s">
        <v>127</v>
      </c>
      <c r="H4" s="85" t="s">
        <v>128</v>
      </c>
      <c r="I4" s="85" t="s">
        <v>129</v>
      </c>
      <c r="J4" s="85" t="s">
        <v>130</v>
      </c>
      <c r="K4" s="85" t="s">
        <v>131</v>
      </c>
      <c r="L4" s="86" t="s">
        <v>132</v>
      </c>
      <c r="M4" s="86" t="s">
        <v>133</v>
      </c>
      <c r="N4" s="87" t="s">
        <v>134</v>
      </c>
    </row>
    <row r="5" spans="2:14" ht="45" customHeight="1">
      <c r="B5" s="159" t="s">
        <v>74</v>
      </c>
      <c r="C5" s="107">
        <f>IFERROR(VLOOKUP(B5, Base_numéro!A:B, 2, FALSE), "")</f>
        <v>620024461</v>
      </c>
      <c r="D5" s="143" t="s">
        <v>140</v>
      </c>
      <c r="E5" s="143" t="s">
        <v>141</v>
      </c>
      <c r="F5" s="144">
        <v>44159</v>
      </c>
      <c r="G5" s="144" t="s">
        <v>54</v>
      </c>
      <c r="H5" s="143" t="s">
        <v>142</v>
      </c>
      <c r="I5" s="108"/>
      <c r="J5" s="143" t="s">
        <v>143</v>
      </c>
      <c r="K5" s="143" t="s">
        <v>144</v>
      </c>
      <c r="L5" s="109"/>
      <c r="M5" s="110" t="s">
        <v>172</v>
      </c>
      <c r="N5" s="132" t="s">
        <v>107</v>
      </c>
    </row>
    <row r="6" spans="2:14" ht="45" customHeight="1">
      <c r="B6" s="159" t="s">
        <v>69</v>
      </c>
      <c r="C6" s="107">
        <f>IFERROR(VLOOKUP(B6, Base_numéro!A:B, 2, FALSE), "")</f>
        <v>612938590</v>
      </c>
      <c r="D6" s="108" t="s">
        <v>135</v>
      </c>
      <c r="E6" s="108" t="s">
        <v>136</v>
      </c>
      <c r="F6" s="112">
        <v>45009</v>
      </c>
      <c r="G6" s="113" t="s">
        <v>137</v>
      </c>
      <c r="H6" s="108"/>
      <c r="I6" s="108"/>
      <c r="J6" s="108" t="s">
        <v>138</v>
      </c>
      <c r="K6" s="108" t="s">
        <v>139</v>
      </c>
      <c r="L6" s="109"/>
      <c r="M6" s="110"/>
      <c r="N6" s="132" t="s">
        <v>102</v>
      </c>
    </row>
    <row r="7" spans="2:14" ht="45" customHeight="1">
      <c r="B7" s="103"/>
      <c r="C7" s="82" t="str">
        <f>IFERROR(VLOOKUP(B7, Base_numéro!A:B, 2, FALSE), "")</f>
        <v/>
      </c>
      <c r="D7" s="92"/>
      <c r="E7" s="95"/>
      <c r="F7" s="88"/>
      <c r="G7" s="88"/>
      <c r="H7" s="91"/>
      <c r="I7" s="91"/>
      <c r="J7" s="91"/>
      <c r="K7" s="96"/>
      <c r="L7" s="97"/>
      <c r="M7" s="90"/>
      <c r="N7" s="98"/>
    </row>
    <row r="8" spans="2:14" ht="45" customHeight="1">
      <c r="B8" s="103"/>
      <c r="C8" s="82" t="str">
        <f>IFERROR(VLOOKUP(B8, Base_numéro!A:B, 2, FALSE), "")</f>
        <v/>
      </c>
      <c r="D8" s="91"/>
      <c r="E8" s="91"/>
      <c r="F8" s="88"/>
      <c r="G8" s="88"/>
      <c r="H8" s="91"/>
      <c r="I8" s="91"/>
      <c r="J8" s="91"/>
      <c r="K8" s="91"/>
      <c r="L8" s="91"/>
      <c r="M8" s="88"/>
      <c r="N8" s="89"/>
    </row>
    <row r="9" spans="2:14" ht="45" customHeight="1">
      <c r="B9" s="103"/>
      <c r="C9" s="82" t="str">
        <f>IFERROR(VLOOKUP(B9, Base_numéro!A:B, 2, FALSE), "")</f>
        <v/>
      </c>
      <c r="D9" s="91"/>
      <c r="E9" s="91"/>
      <c r="F9" s="88"/>
      <c r="G9" s="88"/>
      <c r="H9" s="91"/>
      <c r="I9" s="91"/>
      <c r="J9" s="91"/>
      <c r="K9" s="91"/>
      <c r="L9" s="91"/>
      <c r="M9" s="88"/>
      <c r="N9" s="89"/>
    </row>
    <row r="10" spans="2:14" ht="45" customHeight="1">
      <c r="B10" s="104"/>
      <c r="C10" s="82" t="str">
        <f>IFERROR(VLOOKUP(B10, Base_numéro!A:B, 2, FALSE), "")</f>
        <v/>
      </c>
      <c r="D10" s="93"/>
      <c r="E10" s="93"/>
      <c r="F10" s="94"/>
      <c r="G10" s="94"/>
      <c r="H10" s="93"/>
      <c r="I10" s="93"/>
      <c r="J10" s="93"/>
      <c r="K10" s="93"/>
      <c r="L10" s="91"/>
      <c r="M10" s="94"/>
      <c r="N10" s="99"/>
    </row>
    <row r="11" spans="2:14" ht="45" customHeight="1">
      <c r="B11" s="103"/>
      <c r="C11" s="83" t="str">
        <f>IFERROR(VLOOKUP(B11, Base_numéro!A:B, 2, FALSE), "")</f>
        <v/>
      </c>
      <c r="D11" s="91"/>
      <c r="E11" s="91"/>
      <c r="F11" s="88"/>
      <c r="G11" s="88"/>
      <c r="H11" s="91"/>
      <c r="I11" s="91"/>
      <c r="J11" s="91"/>
      <c r="K11" s="91"/>
      <c r="L11" s="91"/>
      <c r="M11" s="88"/>
      <c r="N11" s="100"/>
    </row>
    <row r="12" spans="2:14" ht="45" customHeight="1">
      <c r="B12" s="103"/>
      <c r="C12" s="83" t="str">
        <f>IFERROR(VLOOKUP(B12, Base_numéro!A:B, 2, FALSE), "")</f>
        <v/>
      </c>
      <c r="D12" s="91"/>
      <c r="E12" s="91"/>
      <c r="F12" s="88"/>
      <c r="G12" s="88"/>
      <c r="H12" s="91"/>
      <c r="I12" s="91"/>
      <c r="J12" s="91"/>
      <c r="K12" s="91"/>
      <c r="L12" s="91"/>
      <c r="M12" s="88"/>
      <c r="N12" s="100"/>
    </row>
    <row r="13" spans="2:14" ht="45" customHeight="1">
      <c r="B13" s="103"/>
      <c r="C13" s="83" t="str">
        <f>IFERROR(VLOOKUP(B13, Base_numéro!A:B, 2, FALSE), "")</f>
        <v/>
      </c>
      <c r="D13" s="91"/>
      <c r="E13" s="91"/>
      <c r="F13" s="88"/>
      <c r="G13" s="88"/>
      <c r="H13" s="91"/>
      <c r="I13" s="91"/>
      <c r="J13" s="91"/>
      <c r="K13" s="91"/>
      <c r="L13" s="91"/>
      <c r="M13" s="88"/>
      <c r="N13" s="100"/>
    </row>
    <row r="14" spans="2:14" ht="45" customHeight="1">
      <c r="B14" s="103"/>
      <c r="C14" s="83" t="str">
        <f>IFERROR(VLOOKUP(B14, Base_numéro!A:B, 2, FALSE), "")</f>
        <v/>
      </c>
      <c r="D14" s="91"/>
      <c r="E14" s="91"/>
      <c r="F14" s="88"/>
      <c r="G14" s="88"/>
      <c r="H14" s="91"/>
      <c r="I14" s="91"/>
      <c r="J14" s="91"/>
      <c r="K14" s="91"/>
      <c r="L14" s="91"/>
      <c r="M14" s="88"/>
      <c r="N14" s="100"/>
    </row>
    <row r="15" spans="2:14" ht="45" customHeight="1">
      <c r="B15" s="103"/>
      <c r="C15" s="83" t="str">
        <f>IFERROR(VLOOKUP(B15, Base_numéro!A:B, 2, FALSE), "")</f>
        <v/>
      </c>
      <c r="D15" s="91"/>
      <c r="E15" s="91"/>
      <c r="F15" s="88"/>
      <c r="G15" s="88"/>
      <c r="H15" s="91"/>
      <c r="I15" s="91"/>
      <c r="J15" s="91"/>
      <c r="K15" s="91"/>
      <c r="L15" s="91"/>
      <c r="M15" s="88"/>
      <c r="N15" s="100"/>
    </row>
    <row r="16" spans="2:14" ht="45" customHeight="1">
      <c r="B16" s="103"/>
      <c r="C16" s="83" t="str">
        <f>IFERROR(VLOOKUP(B16, Base_numéro!A:B, 2, FALSE), "")</f>
        <v/>
      </c>
      <c r="D16" s="91"/>
      <c r="E16" s="91"/>
      <c r="F16" s="88"/>
      <c r="G16" s="88"/>
      <c r="H16" s="91"/>
      <c r="I16" s="91"/>
      <c r="J16" s="91"/>
      <c r="K16" s="91"/>
      <c r="L16" s="91"/>
      <c r="M16" s="88"/>
      <c r="N16" s="100"/>
    </row>
    <row r="17" spans="2:14" ht="45" customHeight="1">
      <c r="B17" s="103"/>
      <c r="C17" s="83" t="str">
        <f>IFERROR(VLOOKUP(B17, Base_numéro!A:B, 2, FALSE), "")</f>
        <v/>
      </c>
      <c r="D17" s="91"/>
      <c r="E17" s="91"/>
      <c r="F17" s="88"/>
      <c r="G17" s="88"/>
      <c r="H17" s="91"/>
      <c r="I17" s="91"/>
      <c r="J17" s="91"/>
      <c r="K17" s="91"/>
      <c r="L17" s="91"/>
      <c r="M17" s="88"/>
      <c r="N17" s="100"/>
    </row>
    <row r="18" spans="2:14" ht="45" customHeight="1">
      <c r="B18" s="103"/>
      <c r="C18" s="83" t="str">
        <f>IFERROR(VLOOKUP(B18, Base_numéro!A:B, 2, FALSE), "")</f>
        <v/>
      </c>
      <c r="D18" s="91"/>
      <c r="E18" s="91"/>
      <c r="F18" s="88"/>
      <c r="G18" s="88"/>
      <c r="H18" s="91"/>
      <c r="I18" s="91"/>
      <c r="J18" s="91"/>
      <c r="K18" s="91"/>
      <c r="L18" s="91"/>
      <c r="M18" s="88"/>
      <c r="N18" s="100"/>
    </row>
    <row r="19" spans="2:14" ht="45" customHeight="1">
      <c r="B19" s="103"/>
      <c r="C19" s="83" t="str">
        <f>IFERROR(VLOOKUP(B19, Base_numéro!A:B, 2, FALSE), "")</f>
        <v/>
      </c>
      <c r="D19" s="91"/>
      <c r="E19" s="91"/>
      <c r="F19" s="88"/>
      <c r="G19" s="88"/>
      <c r="H19" s="91"/>
      <c r="I19" s="91"/>
      <c r="J19" s="91"/>
      <c r="K19" s="91"/>
      <c r="L19" s="91"/>
      <c r="M19" s="88"/>
      <c r="N19" s="100"/>
    </row>
    <row r="20" spans="2:14" ht="45" customHeight="1">
      <c r="B20" s="103"/>
      <c r="C20" s="83" t="str">
        <f>IFERROR(VLOOKUP(B20, Base_numéro!A:B, 2, FALSE), "")</f>
        <v/>
      </c>
      <c r="D20" s="91"/>
      <c r="E20" s="91"/>
      <c r="F20" s="88"/>
      <c r="G20" s="88"/>
      <c r="H20" s="91"/>
      <c r="I20" s="91"/>
      <c r="J20" s="91"/>
      <c r="K20" s="91"/>
      <c r="L20" s="91"/>
      <c r="M20" s="88"/>
      <c r="N20" s="100"/>
    </row>
  </sheetData>
  <sheetProtection sheet="1" objects="1" scenarios="1" formatCells="0" formatColumns="0" formatRows="0" insertRows="0" deleteRows="0" sort="0" autoFilter="0"/>
  <mergeCells count="1">
    <mergeCell ref="B3:N3"/>
  </mergeCells>
  <pageMargins left="0.7" right="0.7" top="0.75" bottom="0.75" header="0.3" footer="0.3"/>
  <pageSetup paperSize="9" orientation="portrait" horizontalDpi="200" verticalDpi="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3582502-1CF8-41A3-865D-2C26E0FAB9C9}">
          <x14:formula1>
            <xm:f>'Base Janvier'!$A$2:$A$22</xm:f>
          </x14:formula1>
          <xm:sqref>B21:B1048576</xm:sqref>
        </x14:dataValidation>
        <x14:dataValidation type="list" allowBlank="1" showInputMessage="1" showErrorMessage="1" xr:uid="{ABC87718-28F4-4615-88D5-DC52C3E559CF}">
          <x14:formula1>
            <xm:f>'Base Janvier'!$E$2:$E$24</xm:f>
          </x14:formula1>
          <xm:sqref>L1:L2 L21:L1048576</xm:sqref>
        </x14:dataValidation>
        <x14:dataValidation type="list" allowBlank="1" showInputMessage="1" showErrorMessage="1" xr:uid="{1EA47C37-BC93-4EDF-B2B9-3C4DD25090B8}">
          <x14:formula1>
            <xm:f>'Base Mois'!$A$2:$A$13</xm:f>
          </x14:formula1>
          <xm:sqref>B3</xm:sqref>
        </x14:dataValidation>
        <x14:dataValidation type="list" allowBlank="1" showInputMessage="1" showErrorMessage="1" xr:uid="{8CA95DAF-1A18-4743-A190-F49A43437714}">
          <x14:formula1>
            <xm:f>'Base Janvier'!$A$2:$A$15</xm:f>
          </x14:formula1>
          <xm:sqref>B1</xm:sqref>
        </x14:dataValidation>
        <x14:dataValidation type="list" allowBlank="1" showInputMessage="1" showErrorMessage="1" xr:uid="{5BBEDD53-9A59-4746-876F-64D287B2F6FD}">
          <x14:formula1>
            <xm:f>'Base Août'!$A$2:$A$22</xm:f>
          </x14:formula1>
          <xm:sqref>B5:B20</xm:sqref>
        </x14:dataValidation>
        <x14:dataValidation type="list" allowBlank="1" showInputMessage="1" showErrorMessage="1" xr:uid="{85125E08-393C-4C4A-B5C8-2AB26674C845}">
          <x14:formula1>
            <xm:f>'Base Août'!$E$2:$E$24</xm:f>
          </x14:formula1>
          <xm:sqref>N5:N20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FC87-A88E-4A99-A71E-B0B01707B957}">
  <dimension ref="A1:H24"/>
  <sheetViews>
    <sheetView zoomScaleNormal="100" workbookViewId="0">
      <selection activeCell="E15" sqref="E15"/>
    </sheetView>
  </sheetViews>
  <sheetFormatPr defaultColWidth="11.42578125" defaultRowHeight="15"/>
  <cols>
    <col min="1" max="1" width="36" bestFit="1" customWidth="1"/>
    <col min="2" max="2" width="42.5703125" bestFit="1" customWidth="1"/>
    <col min="4" max="4" width="14.85546875" customWidth="1"/>
    <col min="5" max="5" width="24.7109375" customWidth="1"/>
  </cols>
  <sheetData>
    <row r="1" spans="1:8" ht="30.75" thickBot="1">
      <c r="A1" s="6" t="s">
        <v>94</v>
      </c>
      <c r="B1" s="12" t="s">
        <v>95</v>
      </c>
      <c r="C1" s="2" t="s">
        <v>96</v>
      </c>
      <c r="D1" s="2" t="s">
        <v>97</v>
      </c>
      <c r="E1" s="6" t="s">
        <v>98</v>
      </c>
    </row>
    <row r="2" spans="1:8" ht="19.5" thickBot="1">
      <c r="A2" s="16" t="str">
        <f t="shared" ref="A2:A22" si="0">IF(D2&gt;0,B2," ")</f>
        <v>BEW170 - HUAWEI Mobile 4G</v>
      </c>
      <c r="B2" s="14" t="s">
        <v>65</v>
      </c>
      <c r="C2" s="5">
        <v>1</v>
      </c>
      <c r="D2" s="5">
        <f>C2-(COUNTIF(Septembre!$N$5:$N$75,'Base Septembre'!E2))</f>
        <v>1</v>
      </c>
      <c r="E2" s="17" t="s">
        <v>99</v>
      </c>
    </row>
    <row r="3" spans="1:8" ht="19.5" thickBot="1">
      <c r="A3" s="16" t="str">
        <f t="shared" si="0"/>
        <v>BEW172 - HUAWEI Mobile 4G</v>
      </c>
      <c r="B3" s="15" t="s">
        <v>67</v>
      </c>
      <c r="C3" s="5">
        <v>1</v>
      </c>
      <c r="D3" s="5">
        <f>C3-(COUNTIF(Septembre!$N$5:$N$75,'Base Septembre'!E3))</f>
        <v>1</v>
      </c>
      <c r="E3" s="18" t="s">
        <v>100</v>
      </c>
      <c r="H3" s="1"/>
    </row>
    <row r="4" spans="1:8" ht="19.5" thickBot="1">
      <c r="A4" s="16" t="str">
        <f t="shared" si="0"/>
        <v>TLP1462 - iPhone 5S</v>
      </c>
      <c r="B4" s="15" t="s">
        <v>68</v>
      </c>
      <c r="C4" s="5">
        <v>1</v>
      </c>
      <c r="D4" s="5">
        <f>C4-(COUNTIF(Septembre!$N$5:$N$75,'Base Septembre'!E4))</f>
        <v>1</v>
      </c>
      <c r="E4" s="18" t="s">
        <v>101</v>
      </c>
    </row>
    <row r="5" spans="1:8" ht="19.5" thickBot="1">
      <c r="A5" s="16" t="str">
        <f t="shared" si="0"/>
        <v xml:space="preserve"> </v>
      </c>
      <c r="B5" s="14" t="s">
        <v>69</v>
      </c>
      <c r="C5" s="5">
        <v>1</v>
      </c>
      <c r="D5" s="5">
        <f>C5-(COUNTIF(Septembre!$N$5:$N$75,'Base Septembre'!E5))</f>
        <v>0</v>
      </c>
      <c r="E5" s="17" t="s">
        <v>102</v>
      </c>
    </row>
    <row r="6" spans="1:8" ht="19.5" thickBot="1">
      <c r="A6" s="16" t="str">
        <f t="shared" si="0"/>
        <v>TLP1733 - Crosscall  Spider X-1</v>
      </c>
      <c r="B6" s="15" t="s">
        <v>70</v>
      </c>
      <c r="C6" s="5">
        <v>1</v>
      </c>
      <c r="D6" s="5">
        <f>C6-(COUNTIF(Septembre!$N$5:$N$75,'Base Septembre'!E6))</f>
        <v>1</v>
      </c>
      <c r="E6" s="18" t="s">
        <v>103</v>
      </c>
    </row>
    <row r="7" spans="1:8" ht="19.5" thickBot="1">
      <c r="A7" s="16" t="str">
        <f t="shared" si="0"/>
        <v>TLP1734 - Crosscall  Spider X-1</v>
      </c>
      <c r="B7" s="14" t="s">
        <v>71</v>
      </c>
      <c r="C7" s="5">
        <v>1</v>
      </c>
      <c r="D7" s="5">
        <f>C7-(COUNTIF(Septembre!$N$5:$N$75,'Base Septembre'!E7))</f>
        <v>1</v>
      </c>
      <c r="E7" s="17" t="s">
        <v>104</v>
      </c>
    </row>
    <row r="8" spans="1:8" ht="19.5" thickBot="1">
      <c r="A8" s="16" t="str">
        <f t="shared" si="0"/>
        <v>TLP1735 - Crosscall  Spider X-1</v>
      </c>
      <c r="B8" s="15" t="s">
        <v>72</v>
      </c>
      <c r="C8" s="5">
        <v>1</v>
      </c>
      <c r="D8" s="5">
        <f>C8-(COUNTIF(Septembre!$N$5:$N$75,'Base Septembre'!E8))</f>
        <v>1</v>
      </c>
      <c r="E8" s="18" t="s">
        <v>105</v>
      </c>
    </row>
    <row r="9" spans="1:8" ht="19.5" thickBot="1">
      <c r="A9" s="16" t="str">
        <f t="shared" si="0"/>
        <v>TLP1736 - Crosscall  Spider X-1</v>
      </c>
      <c r="B9" s="14" t="s">
        <v>73</v>
      </c>
      <c r="C9" s="5">
        <v>1</v>
      </c>
      <c r="D9" s="5">
        <f>C9-(COUNTIF(Septembre!$N$5:$N$75,'Base Septembre'!E9))</f>
        <v>1</v>
      </c>
      <c r="E9" s="17" t="s">
        <v>106</v>
      </c>
    </row>
    <row r="10" spans="1:8" ht="19.5" thickBot="1">
      <c r="A10" s="16" t="str">
        <f t="shared" si="0"/>
        <v xml:space="preserve"> </v>
      </c>
      <c r="B10" s="15" t="s">
        <v>74</v>
      </c>
      <c r="C10" s="5">
        <v>1</v>
      </c>
      <c r="D10" s="5">
        <f>C10-(COUNTIF(Septembre!$N$5:$N$75,'Base Septembre'!E10))</f>
        <v>0</v>
      </c>
      <c r="E10" s="18" t="s">
        <v>107</v>
      </c>
    </row>
    <row r="11" spans="1:8" ht="19.5" thickBot="1">
      <c r="A11" s="16" t="str">
        <f t="shared" si="0"/>
        <v>TLP1862 - Mission Sensible</v>
      </c>
      <c r="B11" s="13" t="s">
        <v>75</v>
      </c>
      <c r="C11" s="5">
        <v>1</v>
      </c>
      <c r="D11" s="5">
        <f>C11-(COUNTIF(Septembre!$N$5:$N$75,'Base Septembre'!E11))</f>
        <v>1</v>
      </c>
      <c r="E11" s="19" t="s">
        <v>108</v>
      </c>
    </row>
    <row r="12" spans="1:8" ht="19.5" thickBot="1">
      <c r="A12" s="16" t="str">
        <f t="shared" si="0"/>
        <v>TLP1866 - Mission Sensible</v>
      </c>
      <c r="B12" s="13" t="s">
        <v>76</v>
      </c>
      <c r="C12" s="5">
        <v>1</v>
      </c>
      <c r="D12" s="5">
        <f>C12-(COUNTIF(Septembre!$N$5:$N$75,'Base Septembre'!E12))</f>
        <v>1</v>
      </c>
      <c r="E12" s="19" t="s">
        <v>109</v>
      </c>
    </row>
    <row r="13" spans="1:8" ht="19.5" thickBot="1">
      <c r="A13" s="16" t="str">
        <f t="shared" si="0"/>
        <v>TLP1872 - Mission Sensible</v>
      </c>
      <c r="B13" s="13" t="s">
        <v>77</v>
      </c>
      <c r="C13" s="5">
        <v>1</v>
      </c>
      <c r="D13" s="5">
        <f>C13-(COUNTIF(Septembre!$N$5:$N$75,'Base Septembre'!E13))</f>
        <v>1</v>
      </c>
      <c r="E13" s="19" t="s">
        <v>110</v>
      </c>
    </row>
    <row r="14" spans="1:8" ht="19.5" thickBot="1">
      <c r="A14" s="16" t="str">
        <f t="shared" si="0"/>
        <v>TLP1878 - iPhone 7 - 10GB Data</v>
      </c>
      <c r="B14" s="14" t="s">
        <v>79</v>
      </c>
      <c r="C14" s="5">
        <v>1</v>
      </c>
      <c r="D14" s="5">
        <f>C14-(COUNTIF(Septembre!$N$5:$N$75,'Base Septembre'!E14))</f>
        <v>1</v>
      </c>
      <c r="E14" s="17" t="s">
        <v>111</v>
      </c>
    </row>
    <row r="15" spans="1:8" ht="19.5" thickBot="1">
      <c r="A15" s="16" t="str">
        <f t="shared" si="0"/>
        <v>TLP1894 - Mission Sensible</v>
      </c>
      <c r="B15" s="13" t="s">
        <v>80</v>
      </c>
      <c r="C15" s="5">
        <v>1</v>
      </c>
      <c r="D15" s="5">
        <f>C15-(COUNTIF(Septembre!$N$5:$N$75,'Base Septembre'!E15))</f>
        <v>1</v>
      </c>
      <c r="E15" s="19" t="s">
        <v>112</v>
      </c>
    </row>
    <row r="16" spans="1:8" ht="19.5" thickBot="1">
      <c r="A16" s="16" t="str">
        <f t="shared" si="0"/>
        <v>TLP1903 - Mission Sensible</v>
      </c>
      <c r="B16" s="13" t="s">
        <v>81</v>
      </c>
      <c r="C16" s="5">
        <v>1</v>
      </c>
      <c r="D16" s="5">
        <f>C16-(COUNTIF(Septembre!$N$5:$N$75,'Base Septembre'!E16))</f>
        <v>1</v>
      </c>
      <c r="E16" s="19" t="s">
        <v>113</v>
      </c>
    </row>
    <row r="17" spans="1:5" ht="19.5" thickBot="1">
      <c r="A17" s="16" t="str">
        <f t="shared" si="0"/>
        <v>TLP1904 - Mission Sensible</v>
      </c>
      <c r="B17" s="13" t="s">
        <v>83</v>
      </c>
      <c r="C17" s="5">
        <v>1</v>
      </c>
      <c r="D17" s="5">
        <f>C17-(COUNTIF(Septembre!$N$5:$N$75,'Base Septembre'!E17))</f>
        <v>1</v>
      </c>
      <c r="E17" s="19" t="s">
        <v>114</v>
      </c>
    </row>
    <row r="18" spans="1:5" ht="19.5" thickBot="1">
      <c r="A18" s="16" t="str">
        <f t="shared" si="0"/>
        <v>TLP2181 - Crosscall  Spider X-5</v>
      </c>
      <c r="B18" s="14" t="s">
        <v>85</v>
      </c>
      <c r="C18" s="5">
        <v>1</v>
      </c>
      <c r="D18" s="5">
        <f>C18-(COUNTIF(Septembre!$N$5:$N$75,'Base Septembre'!E18))</f>
        <v>1</v>
      </c>
      <c r="E18" s="17" t="s">
        <v>115</v>
      </c>
    </row>
    <row r="19" spans="1:5" ht="19.5" thickBot="1">
      <c r="A19" s="16" t="str">
        <f t="shared" si="0"/>
        <v>TLP2183 - Crosscall  Spider X-5</v>
      </c>
      <c r="B19" s="15" t="s">
        <v>87</v>
      </c>
      <c r="C19" s="5">
        <v>1</v>
      </c>
      <c r="D19" s="5">
        <f>C19-(COUNTIF(Septembre!$N$5:$N$75,'Base Septembre'!E19))</f>
        <v>1</v>
      </c>
      <c r="E19" s="18" t="s">
        <v>116</v>
      </c>
    </row>
    <row r="20" spans="1:5" ht="19.5" thickBot="1">
      <c r="A20" s="16" t="str">
        <f t="shared" si="0"/>
        <v>TLP2184 - Crosscall  Spider X-5</v>
      </c>
      <c r="B20" s="14" t="s">
        <v>89</v>
      </c>
      <c r="C20" s="5">
        <v>1</v>
      </c>
      <c r="D20" s="5">
        <f>C20-(COUNTIF(Septembre!$N$5:$N$75,'Base Septembre'!E20))</f>
        <v>1</v>
      </c>
      <c r="E20" s="17" t="s">
        <v>117</v>
      </c>
    </row>
    <row r="21" spans="1:5" ht="19.5" thickBot="1">
      <c r="A21" s="16" t="str">
        <f t="shared" si="0"/>
        <v>TLP2196 - CROSSCALL CORE M5</v>
      </c>
      <c r="B21" s="14" t="s">
        <v>90</v>
      </c>
      <c r="C21" s="5">
        <v>1</v>
      </c>
      <c r="D21" s="5">
        <f>C21-(COUNTIF(Septembre!$N$5:$N$75,'Base Septembre'!E21))</f>
        <v>1</v>
      </c>
      <c r="E21" s="17" t="s">
        <v>118</v>
      </c>
    </row>
    <row r="22" spans="1:5" ht="19.5" thickBot="1">
      <c r="A22" s="16" t="str">
        <f t="shared" si="0"/>
        <v>TLP2197 - CROSSCALL CORE M5</v>
      </c>
      <c r="B22" s="14" t="s">
        <v>91</v>
      </c>
      <c r="C22" s="5">
        <v>1</v>
      </c>
      <c r="D22" s="5">
        <f>C22-(COUNTIF(Septembre!$N$5:$N$75,'Base Septembre'!E22))</f>
        <v>1</v>
      </c>
      <c r="E22" s="17" t="s">
        <v>119</v>
      </c>
    </row>
    <row r="23" spans="1:5" ht="19.5" thickBot="1">
      <c r="E23" s="7" t="s">
        <v>120</v>
      </c>
    </row>
    <row r="24" spans="1:5" ht="19.5" thickBot="1">
      <c r="E24" s="7" t="s">
        <v>121</v>
      </c>
    </row>
  </sheetData>
  <autoFilter ref="A1:E15" xr:uid="{03156433-8788-4196-A79D-9790F236E9A5}">
    <sortState xmlns:xlrd2="http://schemas.microsoft.com/office/spreadsheetml/2017/richdata2" ref="A2:E24">
      <sortCondition ref="B1:B15"/>
    </sortState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9DC6-4D54-4DEF-9A16-588A960DE5A6}">
  <dimension ref="B1:N20"/>
  <sheetViews>
    <sheetView showGridLines="0" zoomScale="70" zoomScaleNormal="70" workbookViewId="0">
      <pane ySplit="4" topLeftCell="A5" activePane="bottomLeft" state="frozen"/>
      <selection pane="bottomLeft" activeCell="B11" sqref="B10:B11"/>
      <selection activeCell="F11" sqref="F11"/>
    </sheetView>
  </sheetViews>
  <sheetFormatPr defaultColWidth="11.42578125" defaultRowHeight="15"/>
  <cols>
    <col min="2" max="2" width="35.42578125" style="84" bestFit="1" customWidth="1"/>
    <col min="3" max="3" width="20.5703125" style="84" customWidth="1"/>
    <col min="4" max="4" width="25.7109375" style="84" customWidth="1"/>
    <col min="5" max="5" width="16.5703125" style="84" bestFit="1" customWidth="1"/>
    <col min="6" max="6" width="19.7109375" style="84" bestFit="1" customWidth="1"/>
    <col min="7" max="7" width="22.85546875" style="84" customWidth="1"/>
    <col min="8" max="8" width="17.28515625" style="84" bestFit="1" customWidth="1"/>
    <col min="9" max="9" width="36.42578125" style="84" bestFit="1" customWidth="1"/>
    <col min="10" max="10" width="25.7109375" style="84" bestFit="1" customWidth="1"/>
    <col min="11" max="11" width="13.7109375" style="84" bestFit="1" customWidth="1"/>
    <col min="12" max="12" width="23" style="84" bestFit="1" customWidth="1"/>
    <col min="13" max="13" width="20.85546875" style="84" bestFit="1" customWidth="1"/>
    <col min="14" max="14" width="20.140625" style="84" bestFit="1" customWidth="1"/>
  </cols>
  <sheetData>
    <row r="1" spans="2:14">
      <c r="C1"/>
    </row>
    <row r="2" spans="2:14" ht="31.5" customHeight="1">
      <c r="C2" s="4"/>
      <c r="D2" s="101"/>
      <c r="E2" s="101"/>
      <c r="F2" s="101"/>
      <c r="G2" s="101"/>
      <c r="H2" s="101"/>
    </row>
    <row r="3" spans="2:14" ht="28.5">
      <c r="B3" s="286" t="s">
        <v>1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</row>
    <row r="4" spans="2:14" ht="45" customHeight="1">
      <c r="B4" s="102" t="s">
        <v>122</v>
      </c>
      <c r="C4" s="3" t="s">
        <v>123</v>
      </c>
      <c r="D4" s="85" t="s">
        <v>124</v>
      </c>
      <c r="E4" s="85" t="s">
        <v>125</v>
      </c>
      <c r="F4" s="85" t="s">
        <v>126</v>
      </c>
      <c r="G4" s="85" t="s">
        <v>127</v>
      </c>
      <c r="H4" s="85" t="s">
        <v>128</v>
      </c>
      <c r="I4" s="85" t="s">
        <v>129</v>
      </c>
      <c r="J4" s="85" t="s">
        <v>130</v>
      </c>
      <c r="K4" s="85" t="s">
        <v>131</v>
      </c>
      <c r="L4" s="86" t="s">
        <v>132</v>
      </c>
      <c r="M4" s="86" t="s">
        <v>133</v>
      </c>
      <c r="N4" s="87" t="s">
        <v>134</v>
      </c>
    </row>
    <row r="5" spans="2:14" ht="45" customHeight="1">
      <c r="B5" s="159" t="s">
        <v>74</v>
      </c>
      <c r="C5" s="107">
        <f>IFERROR(VLOOKUP(B5, Base_numéro!A:B, 2, FALSE), "")</f>
        <v>620024461</v>
      </c>
      <c r="D5" s="143" t="s">
        <v>140</v>
      </c>
      <c r="E5" s="143" t="s">
        <v>141</v>
      </c>
      <c r="F5" s="144">
        <v>44159</v>
      </c>
      <c r="G5" s="144" t="s">
        <v>54</v>
      </c>
      <c r="H5" s="143" t="s">
        <v>142</v>
      </c>
      <c r="I5" s="108"/>
      <c r="J5" s="143" t="s">
        <v>143</v>
      </c>
      <c r="K5" s="143" t="s">
        <v>144</v>
      </c>
      <c r="L5" s="109"/>
      <c r="M5" s="110" t="s">
        <v>172</v>
      </c>
      <c r="N5" s="132" t="s">
        <v>107</v>
      </c>
    </row>
    <row r="6" spans="2:14" ht="45" customHeight="1">
      <c r="B6" s="159" t="s">
        <v>69</v>
      </c>
      <c r="C6" s="107">
        <f>IFERROR(VLOOKUP(B6, Base_numéro!A:B, 2, FALSE), "")</f>
        <v>612938590</v>
      </c>
      <c r="D6" s="108" t="s">
        <v>135</v>
      </c>
      <c r="E6" s="108" t="s">
        <v>136</v>
      </c>
      <c r="F6" s="112">
        <v>45009</v>
      </c>
      <c r="G6" s="113" t="s">
        <v>137</v>
      </c>
      <c r="H6" s="108"/>
      <c r="I6" s="108"/>
      <c r="J6" s="116" t="s">
        <v>138</v>
      </c>
      <c r="K6" s="108" t="s">
        <v>139</v>
      </c>
      <c r="L6" s="109"/>
      <c r="M6" s="110"/>
      <c r="N6" s="132" t="s">
        <v>102</v>
      </c>
    </row>
    <row r="7" spans="2:14" ht="45" customHeight="1">
      <c r="B7" s="103"/>
      <c r="C7" s="82" t="str">
        <f>IFERROR(VLOOKUP(B7, Base_numéro!A:B, 2, FALSE), "")</f>
        <v/>
      </c>
      <c r="D7" s="198"/>
      <c r="E7" s="193"/>
      <c r="F7" s="148"/>
      <c r="G7" s="148"/>
      <c r="H7" s="148"/>
      <c r="I7" s="199"/>
      <c r="J7" s="200"/>
      <c r="K7" s="194"/>
      <c r="L7" s="97"/>
      <c r="M7" s="195"/>
      <c r="N7" s="196"/>
    </row>
    <row r="8" spans="2:14" ht="45" customHeight="1">
      <c r="B8" s="103"/>
      <c r="C8" s="82" t="str">
        <f>IFERROR(VLOOKUP(B8, Base_numéro!A:B, 2, FALSE), "")</f>
        <v/>
      </c>
      <c r="D8" s="131"/>
      <c r="E8" s="131"/>
      <c r="F8" s="148"/>
      <c r="G8" s="148"/>
      <c r="H8" s="131"/>
      <c r="I8" s="131"/>
      <c r="J8" s="201"/>
      <c r="K8" s="131"/>
      <c r="L8" s="131"/>
      <c r="M8" s="148"/>
      <c r="N8" s="138"/>
    </row>
    <row r="9" spans="2:14" ht="45" customHeight="1">
      <c r="B9" s="103"/>
      <c r="C9" s="82" t="str">
        <f>IFERROR(VLOOKUP(B9, Base_numéro!A:B, 2, FALSE), "")</f>
        <v/>
      </c>
      <c r="D9" s="131"/>
      <c r="E9" s="131"/>
      <c r="F9" s="148"/>
      <c r="G9" s="148"/>
      <c r="H9" s="131"/>
      <c r="I9" s="131"/>
      <c r="J9" s="131"/>
      <c r="K9" s="131"/>
      <c r="L9" s="131"/>
      <c r="M9" s="148"/>
      <c r="N9" s="138"/>
    </row>
    <row r="10" spans="2:14" ht="45" customHeight="1">
      <c r="B10" s="104"/>
      <c r="C10" s="82" t="str">
        <f>IFERROR(VLOOKUP(B10, Base_numéro!A:B, 2, FALSE), "")</f>
        <v/>
      </c>
      <c r="D10" s="149"/>
      <c r="E10" s="149"/>
      <c r="F10" s="150"/>
      <c r="G10" s="150"/>
      <c r="H10" s="149"/>
      <c r="I10" s="149"/>
      <c r="J10" s="149"/>
      <c r="K10" s="149"/>
      <c r="L10" s="131"/>
      <c r="M10" s="150"/>
      <c r="N10" s="139"/>
    </row>
    <row r="11" spans="2:14" ht="45" customHeight="1">
      <c r="B11" s="103"/>
      <c r="C11" s="83" t="str">
        <f>IFERROR(VLOOKUP(B11, Base_numéro!A:B, 2, FALSE), "")</f>
        <v/>
      </c>
      <c r="D11" s="131"/>
      <c r="E11" s="131"/>
      <c r="F11" s="148"/>
      <c r="G11" s="148"/>
      <c r="H11" s="131"/>
      <c r="I11" s="131"/>
      <c r="J11" s="131"/>
      <c r="K11" s="131"/>
      <c r="L11" s="131"/>
      <c r="M11" s="148"/>
      <c r="N11" s="137"/>
    </row>
    <row r="12" spans="2:14" ht="45" customHeight="1">
      <c r="B12" s="103"/>
      <c r="C12" s="83" t="str">
        <f>IFERROR(VLOOKUP(B12, Base_numéro!A:B, 2, FALSE), "")</f>
        <v/>
      </c>
      <c r="D12" s="131"/>
      <c r="E12" s="131"/>
      <c r="F12" s="148"/>
      <c r="G12" s="148"/>
      <c r="H12" s="131"/>
      <c r="I12" s="131"/>
      <c r="J12" s="131"/>
      <c r="K12" s="131"/>
      <c r="L12" s="131"/>
      <c r="M12" s="148"/>
      <c r="N12" s="137"/>
    </row>
    <row r="13" spans="2:14" ht="45" customHeight="1">
      <c r="B13" s="103"/>
      <c r="C13" s="83" t="str">
        <f>IFERROR(VLOOKUP(B13, Base_numéro!A:B, 2, FALSE), "")</f>
        <v/>
      </c>
      <c r="D13" s="131"/>
      <c r="E13" s="131"/>
      <c r="F13" s="148"/>
      <c r="G13" s="148"/>
      <c r="H13" s="131"/>
      <c r="I13" s="131"/>
      <c r="J13" s="131"/>
      <c r="K13" s="131"/>
      <c r="L13" s="131"/>
      <c r="M13" s="148"/>
      <c r="N13" s="137"/>
    </row>
    <row r="14" spans="2:14" ht="45" customHeight="1">
      <c r="B14" s="103"/>
      <c r="C14" s="83" t="str">
        <f>IFERROR(VLOOKUP(B14, Base_numéro!A:B, 2, FALSE), "")</f>
        <v/>
      </c>
      <c r="D14" s="131"/>
      <c r="E14" s="131"/>
      <c r="F14" s="148"/>
      <c r="G14" s="148"/>
      <c r="H14" s="131"/>
      <c r="I14" s="131"/>
      <c r="J14" s="131"/>
      <c r="K14" s="131"/>
      <c r="L14" s="131"/>
      <c r="M14" s="148"/>
      <c r="N14" s="137"/>
    </row>
    <row r="15" spans="2:14" ht="45" customHeight="1">
      <c r="B15" s="103"/>
      <c r="C15" s="83" t="str">
        <f>IFERROR(VLOOKUP(B15, Base_numéro!A:B, 2, FALSE), "")</f>
        <v/>
      </c>
      <c r="D15" s="131"/>
      <c r="E15" s="131"/>
      <c r="F15" s="148"/>
      <c r="G15" s="148"/>
      <c r="H15" s="131"/>
      <c r="I15" s="131"/>
      <c r="J15" s="131"/>
      <c r="K15" s="131"/>
      <c r="L15" s="131"/>
      <c r="M15" s="148"/>
      <c r="N15" s="137"/>
    </row>
    <row r="16" spans="2:14" ht="45" customHeight="1">
      <c r="B16" s="103"/>
      <c r="C16" s="83" t="str">
        <f>IFERROR(VLOOKUP(B16, Base_numéro!A:B, 2, FALSE), "")</f>
        <v/>
      </c>
      <c r="D16" s="131"/>
      <c r="E16" s="131"/>
      <c r="F16" s="148"/>
      <c r="G16" s="148"/>
      <c r="H16" s="131"/>
      <c r="I16" s="131"/>
      <c r="J16" s="131"/>
      <c r="K16" s="131"/>
      <c r="L16" s="131"/>
      <c r="M16" s="148"/>
      <c r="N16" s="137"/>
    </row>
    <row r="17" spans="2:14" ht="45" customHeight="1">
      <c r="B17" s="103"/>
      <c r="C17" s="83" t="str">
        <f>IFERROR(VLOOKUP(B17, Base_numéro!A:B, 2, FALSE), "")</f>
        <v/>
      </c>
      <c r="D17" s="131"/>
      <c r="E17" s="131"/>
      <c r="F17" s="148"/>
      <c r="G17" s="148"/>
      <c r="H17" s="131"/>
      <c r="I17" s="131"/>
      <c r="J17" s="131"/>
      <c r="K17" s="131"/>
      <c r="L17" s="131"/>
      <c r="M17" s="148"/>
      <c r="N17" s="137"/>
    </row>
    <row r="18" spans="2:14" ht="45" customHeight="1">
      <c r="B18" s="103"/>
      <c r="C18" s="83" t="str">
        <f>IFERROR(VLOOKUP(B18, Base_numéro!A:B, 2, FALSE), "")</f>
        <v/>
      </c>
      <c r="D18" s="131"/>
      <c r="E18" s="131"/>
      <c r="F18" s="148"/>
      <c r="G18" s="148"/>
      <c r="H18" s="131"/>
      <c r="I18" s="131"/>
      <c r="J18" s="131"/>
      <c r="K18" s="131"/>
      <c r="L18" s="131"/>
      <c r="M18" s="148"/>
      <c r="N18" s="137"/>
    </row>
    <row r="19" spans="2:14" ht="45" customHeight="1">
      <c r="B19" s="103"/>
      <c r="C19" s="83" t="str">
        <f>IFERROR(VLOOKUP(B19, Base_numéro!A:B, 2, FALSE), "")</f>
        <v/>
      </c>
      <c r="D19" s="131"/>
      <c r="E19" s="131"/>
      <c r="F19" s="148"/>
      <c r="G19" s="148"/>
      <c r="H19" s="131"/>
      <c r="I19" s="131"/>
      <c r="J19" s="131"/>
      <c r="K19" s="131"/>
      <c r="L19" s="131"/>
      <c r="M19" s="148"/>
      <c r="N19" s="137"/>
    </row>
    <row r="20" spans="2:14" ht="45" customHeight="1">
      <c r="B20" s="103"/>
      <c r="C20" s="83" t="str">
        <f>IFERROR(VLOOKUP(B20, Base_numéro!A:B, 2, FALSE), "")</f>
        <v/>
      </c>
      <c r="D20" s="131"/>
      <c r="E20" s="131"/>
      <c r="F20" s="148"/>
      <c r="G20" s="148"/>
      <c r="H20" s="131"/>
      <c r="I20" s="131"/>
      <c r="J20" s="131"/>
      <c r="K20" s="131"/>
      <c r="L20" s="131"/>
      <c r="M20" s="148"/>
      <c r="N20" s="137"/>
    </row>
  </sheetData>
  <sheetProtection algorithmName="SHA-512" hashValue="m3IpRJnqHxc0dS57e3cvuACKFnVeP1wgUWUQClnuNzDfHHEzSHmBIPGpceFhDCyrPEiMmOcyqIv8OB5Hx7r4Vg==" saltValue="dYrS8d3zFj9w2pRxKLAZiQ==" spinCount="100000" sheet="1" objects="1" scenarios="1" formatCells="0" formatColumns="0" formatRows="0" insertRows="0" deleteRows="0" sort="0" autoFilter="0"/>
  <mergeCells count="1">
    <mergeCell ref="B3:N3"/>
  </mergeCells>
  <pageMargins left="0.7" right="0.7" top="0.75" bottom="0.75" header="0.3" footer="0.3"/>
  <pageSetup paperSize="9" orientation="portrait" horizontalDpi="200" verticalDpi="20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81C0D1C-FB36-455F-BD58-47C7B2E6523F}">
          <x14:formula1>
            <xm:f>'Base Septembre'!$E$2:$E$24</xm:f>
          </x14:formula1>
          <xm:sqref>N5:N20</xm:sqref>
        </x14:dataValidation>
        <x14:dataValidation type="list" allowBlank="1" showInputMessage="1" showErrorMessage="1" xr:uid="{04FE5B7F-1439-4198-B59C-719189F69824}">
          <x14:formula1>
            <xm:f>'Base Septembre'!$A$2:$A$22</xm:f>
          </x14:formula1>
          <xm:sqref>B5:B20</xm:sqref>
        </x14:dataValidation>
        <x14:dataValidation type="list" allowBlank="1" showInputMessage="1" showErrorMessage="1" xr:uid="{AA563764-5E6F-4977-8C78-DA7ADE92BF7C}">
          <x14:formula1>
            <xm:f>'Base Janvier'!$A$2:$A$15</xm:f>
          </x14:formula1>
          <xm:sqref>B1</xm:sqref>
        </x14:dataValidation>
        <x14:dataValidation type="list" allowBlank="1" showInputMessage="1" showErrorMessage="1" xr:uid="{B4AB0040-187A-4BB3-84AF-24F6F6B4A9D7}">
          <x14:formula1>
            <xm:f>'Base Mois'!$A$2:$A$13</xm:f>
          </x14:formula1>
          <xm:sqref>B3</xm:sqref>
        </x14:dataValidation>
        <x14:dataValidation type="list" allowBlank="1" showInputMessage="1" showErrorMessage="1" xr:uid="{EAD341B8-9A30-4907-81CC-C3898E957800}">
          <x14:formula1>
            <xm:f>'Base Janvier'!$E$2:$E$24</xm:f>
          </x14:formula1>
          <xm:sqref>L1:L2 L21:L1048576</xm:sqref>
        </x14:dataValidation>
        <x14:dataValidation type="list" allowBlank="1" showInputMessage="1" showErrorMessage="1" xr:uid="{04085FC7-9743-4BE7-983D-453C5827E99F}">
          <x14:formula1>
            <xm:f>'Base Janvier'!$A$2:$A$22</xm:f>
          </x14:formula1>
          <xm:sqref>B21:B1048576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FC64-8C05-4CC3-9E73-2563FF624A37}">
  <dimension ref="A1:H24"/>
  <sheetViews>
    <sheetView zoomScaleNormal="100" workbookViewId="0">
      <selection activeCell="E15" sqref="E15"/>
    </sheetView>
  </sheetViews>
  <sheetFormatPr defaultColWidth="11.42578125" defaultRowHeight="15"/>
  <cols>
    <col min="1" max="1" width="36" bestFit="1" customWidth="1"/>
    <col min="2" max="2" width="42.5703125" bestFit="1" customWidth="1"/>
    <col min="4" max="4" width="14.85546875" customWidth="1"/>
    <col min="5" max="5" width="24.7109375" customWidth="1"/>
  </cols>
  <sheetData>
    <row r="1" spans="1:8" ht="30.75" thickBot="1">
      <c r="A1" s="6" t="s">
        <v>94</v>
      </c>
      <c r="B1" s="12" t="s">
        <v>95</v>
      </c>
      <c r="C1" s="2" t="s">
        <v>96</v>
      </c>
      <c r="D1" s="2" t="s">
        <v>97</v>
      </c>
      <c r="E1" s="6" t="s">
        <v>98</v>
      </c>
    </row>
    <row r="2" spans="1:8" ht="19.5" thickBot="1">
      <c r="A2" s="16" t="str">
        <f t="shared" ref="A2:A22" si="0">IF(D2&gt;0,B2," ")</f>
        <v>BEW170 - HUAWEI Mobile 4G</v>
      </c>
      <c r="B2" s="14" t="s">
        <v>65</v>
      </c>
      <c r="C2" s="5">
        <v>1</v>
      </c>
      <c r="D2" s="5">
        <f>C2-(COUNTIF(Octobre!$N$5:$N$75,'Base Octobre'!E2))</f>
        <v>1</v>
      </c>
      <c r="E2" s="17" t="s">
        <v>99</v>
      </c>
    </row>
    <row r="3" spans="1:8" ht="19.5" thickBot="1">
      <c r="A3" s="16" t="str">
        <f t="shared" si="0"/>
        <v>BEW172 - HUAWEI Mobile 4G</v>
      </c>
      <c r="B3" s="15" t="s">
        <v>67</v>
      </c>
      <c r="C3" s="5">
        <v>1</v>
      </c>
      <c r="D3" s="5">
        <f>C3-(COUNTIF(Octobre!$N$5:$N$75,'Base Octobre'!E3))</f>
        <v>1</v>
      </c>
      <c r="E3" s="18" t="s">
        <v>100</v>
      </c>
      <c r="H3" s="1"/>
    </row>
    <row r="4" spans="1:8" ht="19.5" thickBot="1">
      <c r="A4" s="16" t="str">
        <f t="shared" si="0"/>
        <v>TLP1462 - iPhone 5S</v>
      </c>
      <c r="B4" s="15" t="s">
        <v>68</v>
      </c>
      <c r="C4" s="5">
        <v>1</v>
      </c>
      <c r="D4" s="5">
        <f>C4-(COUNTIF(Octobre!$N$5:$N$75,'Base Octobre'!E4))</f>
        <v>1</v>
      </c>
      <c r="E4" s="18" t="s">
        <v>101</v>
      </c>
    </row>
    <row r="5" spans="1:8" ht="19.5" thickBot="1">
      <c r="A5" s="16" t="str">
        <f t="shared" si="0"/>
        <v xml:space="preserve"> </v>
      </c>
      <c r="B5" s="14" t="s">
        <v>69</v>
      </c>
      <c r="C5" s="5">
        <v>1</v>
      </c>
      <c r="D5" s="5">
        <f>C5-(COUNTIF(Octobre!$N$5:$N$75,'Base Octobre'!E5))</f>
        <v>0</v>
      </c>
      <c r="E5" s="17" t="s">
        <v>102</v>
      </c>
    </row>
    <row r="6" spans="1:8" ht="19.5" thickBot="1">
      <c r="A6" s="16" t="str">
        <f t="shared" si="0"/>
        <v>TLP1733 - Crosscall  Spider X-1</v>
      </c>
      <c r="B6" s="15" t="s">
        <v>70</v>
      </c>
      <c r="C6" s="5">
        <v>1</v>
      </c>
      <c r="D6" s="5">
        <f>C6-(COUNTIF(Octobre!$N$5:$N$75,'Base Octobre'!E6))</f>
        <v>1</v>
      </c>
      <c r="E6" s="18" t="s">
        <v>103</v>
      </c>
    </row>
    <row r="7" spans="1:8" ht="19.5" thickBot="1">
      <c r="A7" s="16" t="str">
        <f t="shared" si="0"/>
        <v>TLP1734 - Crosscall  Spider X-1</v>
      </c>
      <c r="B7" s="14" t="s">
        <v>71</v>
      </c>
      <c r="C7" s="5">
        <v>1</v>
      </c>
      <c r="D7" s="5">
        <f>C7-(COUNTIF(Octobre!$N$5:$N$75,'Base Octobre'!E7))</f>
        <v>1</v>
      </c>
      <c r="E7" s="17" t="s">
        <v>104</v>
      </c>
    </row>
    <row r="8" spans="1:8" ht="19.5" thickBot="1">
      <c r="A8" s="16" t="str">
        <f t="shared" si="0"/>
        <v>TLP1735 - Crosscall  Spider X-1</v>
      </c>
      <c r="B8" s="15" t="s">
        <v>72</v>
      </c>
      <c r="C8" s="5">
        <v>1</v>
      </c>
      <c r="D8" s="5">
        <f>C8-(COUNTIF(Octobre!$N$5:$N$75,'Base Octobre'!E8))</f>
        <v>1</v>
      </c>
      <c r="E8" s="18" t="s">
        <v>105</v>
      </c>
    </row>
    <row r="9" spans="1:8" ht="19.5" thickBot="1">
      <c r="A9" s="16" t="str">
        <f t="shared" si="0"/>
        <v>TLP1736 - Crosscall  Spider X-1</v>
      </c>
      <c r="B9" s="14" t="s">
        <v>73</v>
      </c>
      <c r="C9" s="5">
        <v>1</v>
      </c>
      <c r="D9" s="5">
        <f>C9-(COUNTIF(Octobre!$N$5:$N$75,'Base Octobre'!E9))</f>
        <v>1</v>
      </c>
      <c r="E9" s="17" t="s">
        <v>106</v>
      </c>
    </row>
    <row r="10" spans="1:8" ht="19.5" thickBot="1">
      <c r="A10" s="16" t="str">
        <f t="shared" si="0"/>
        <v xml:space="preserve"> </v>
      </c>
      <c r="B10" s="15" t="s">
        <v>74</v>
      </c>
      <c r="C10" s="5">
        <v>1</v>
      </c>
      <c r="D10" s="5">
        <f>C10-(COUNTIF(Octobre!$N$5:$N$75,'Base Octobre'!E10))</f>
        <v>0</v>
      </c>
      <c r="E10" s="18" t="s">
        <v>107</v>
      </c>
    </row>
    <row r="11" spans="1:8" ht="19.5" thickBot="1">
      <c r="A11" s="16" t="str">
        <f t="shared" si="0"/>
        <v>TLP1862 - Mission Sensible</v>
      </c>
      <c r="B11" s="13" t="s">
        <v>75</v>
      </c>
      <c r="C11" s="5">
        <v>1</v>
      </c>
      <c r="D11" s="5">
        <f>C11-(COUNTIF(Octobre!$N$5:$N$75,'Base Octobre'!E11))</f>
        <v>1</v>
      </c>
      <c r="E11" s="19" t="s">
        <v>108</v>
      </c>
    </row>
    <row r="12" spans="1:8" ht="19.5" thickBot="1">
      <c r="A12" s="16" t="str">
        <f t="shared" si="0"/>
        <v>TLP1866 - Mission Sensible</v>
      </c>
      <c r="B12" s="13" t="s">
        <v>76</v>
      </c>
      <c r="C12" s="5">
        <v>1</v>
      </c>
      <c r="D12" s="5">
        <f>C12-(COUNTIF(Octobre!$N$5:$N$75,'Base Octobre'!E12))</f>
        <v>1</v>
      </c>
      <c r="E12" s="19" t="s">
        <v>109</v>
      </c>
    </row>
    <row r="13" spans="1:8" ht="19.5" thickBot="1">
      <c r="A13" s="16" t="str">
        <f t="shared" si="0"/>
        <v>TLP1872 - Mission Sensible</v>
      </c>
      <c r="B13" s="13" t="s">
        <v>77</v>
      </c>
      <c r="C13" s="5">
        <v>1</v>
      </c>
      <c r="D13" s="5">
        <f>C13-(COUNTIF(Octobre!$N$5:$N$75,'Base Octobre'!E13))</f>
        <v>1</v>
      </c>
      <c r="E13" s="19" t="s">
        <v>110</v>
      </c>
    </row>
    <row r="14" spans="1:8" ht="19.5" thickBot="1">
      <c r="A14" s="16" t="str">
        <f t="shared" si="0"/>
        <v>TLP1878 - iPhone 7 - 10GB Data</v>
      </c>
      <c r="B14" s="14" t="s">
        <v>79</v>
      </c>
      <c r="C14" s="5">
        <v>1</v>
      </c>
      <c r="D14" s="5">
        <f>C14-(COUNTIF(Octobre!$N$5:$N$75,'Base Octobre'!E14))</f>
        <v>1</v>
      </c>
      <c r="E14" s="17" t="s">
        <v>111</v>
      </c>
    </row>
    <row r="15" spans="1:8" ht="19.5" thickBot="1">
      <c r="A15" s="16" t="str">
        <f t="shared" si="0"/>
        <v>TLP1894 - Mission Sensible</v>
      </c>
      <c r="B15" s="13" t="s">
        <v>80</v>
      </c>
      <c r="C15" s="5">
        <v>1</v>
      </c>
      <c r="D15" s="5">
        <f>C15-(COUNTIF(Octobre!$N$5:$N$75,'Base Octobre'!E15))</f>
        <v>1</v>
      </c>
      <c r="E15" s="19" t="s">
        <v>112</v>
      </c>
    </row>
    <row r="16" spans="1:8" ht="19.5" thickBot="1">
      <c r="A16" s="16" t="str">
        <f t="shared" si="0"/>
        <v>TLP1903 - Mission Sensible</v>
      </c>
      <c r="B16" s="13" t="s">
        <v>81</v>
      </c>
      <c r="C16" s="5">
        <v>1</v>
      </c>
      <c r="D16" s="5">
        <f>C16-(COUNTIF(Octobre!$N$5:$N$75,'Base Octobre'!E16))</f>
        <v>1</v>
      </c>
      <c r="E16" s="19" t="s">
        <v>113</v>
      </c>
    </row>
    <row r="17" spans="1:5" ht="19.5" thickBot="1">
      <c r="A17" s="16" t="str">
        <f t="shared" si="0"/>
        <v>TLP1904 - Mission Sensible</v>
      </c>
      <c r="B17" s="13" t="s">
        <v>83</v>
      </c>
      <c r="C17" s="5">
        <v>1</v>
      </c>
      <c r="D17" s="5">
        <f>C17-(COUNTIF(Octobre!$N$5:$N$75,'Base Octobre'!E17))</f>
        <v>1</v>
      </c>
      <c r="E17" s="19" t="s">
        <v>114</v>
      </c>
    </row>
    <row r="18" spans="1:5" ht="19.5" thickBot="1">
      <c r="A18" s="16" t="str">
        <f t="shared" si="0"/>
        <v>TLP2181 - Crosscall  Spider X-5</v>
      </c>
      <c r="B18" s="14" t="s">
        <v>85</v>
      </c>
      <c r="C18" s="5">
        <v>1</v>
      </c>
      <c r="D18" s="5">
        <f>C18-(COUNTIF(Octobre!$N$5:$N$75,'Base Octobre'!E18))</f>
        <v>1</v>
      </c>
      <c r="E18" s="17" t="s">
        <v>115</v>
      </c>
    </row>
    <row r="19" spans="1:5" ht="19.5" thickBot="1">
      <c r="A19" s="16" t="str">
        <f t="shared" si="0"/>
        <v>TLP2183 - Crosscall  Spider X-5</v>
      </c>
      <c r="B19" s="15" t="s">
        <v>87</v>
      </c>
      <c r="C19" s="5">
        <v>1</v>
      </c>
      <c r="D19" s="5">
        <f>C19-(COUNTIF(Octobre!$N$5:$N$75,'Base Octobre'!E19))</f>
        <v>1</v>
      </c>
      <c r="E19" s="18" t="s">
        <v>116</v>
      </c>
    </row>
    <row r="20" spans="1:5" ht="19.5" thickBot="1">
      <c r="A20" s="16" t="str">
        <f t="shared" si="0"/>
        <v>TLP2184 - Crosscall  Spider X-5</v>
      </c>
      <c r="B20" s="14" t="s">
        <v>89</v>
      </c>
      <c r="C20" s="5">
        <v>1</v>
      </c>
      <c r="D20" s="5">
        <f>C20-(COUNTIF(Octobre!$N$5:$N$75,'Base Octobre'!E20))</f>
        <v>1</v>
      </c>
      <c r="E20" s="17" t="s">
        <v>117</v>
      </c>
    </row>
    <row r="21" spans="1:5" ht="19.5" thickBot="1">
      <c r="A21" s="16" t="str">
        <f t="shared" si="0"/>
        <v>TLP2196 - CROSSCALL CORE M5</v>
      </c>
      <c r="B21" s="14" t="s">
        <v>90</v>
      </c>
      <c r="C21" s="5">
        <v>1</v>
      </c>
      <c r="D21" s="5">
        <f>C21-(COUNTIF(Octobre!$N$5:$N$75,'Base Octobre'!E21))</f>
        <v>1</v>
      </c>
      <c r="E21" s="17" t="s">
        <v>118</v>
      </c>
    </row>
    <row r="22" spans="1:5" ht="19.5" thickBot="1">
      <c r="A22" s="16" t="str">
        <f t="shared" si="0"/>
        <v>TLP2197 - CROSSCALL CORE M5</v>
      </c>
      <c r="B22" s="14" t="s">
        <v>91</v>
      </c>
      <c r="C22" s="5">
        <v>1</v>
      </c>
      <c r="D22" s="5">
        <f>C22-(COUNTIF(Octobre!$N$5:$N$75,'Base Octobre'!E22))</f>
        <v>1</v>
      </c>
      <c r="E22" s="17" t="s">
        <v>119</v>
      </c>
    </row>
    <row r="23" spans="1:5" ht="19.5" thickBot="1">
      <c r="E23" s="7" t="s">
        <v>120</v>
      </c>
    </row>
    <row r="24" spans="1:5" ht="19.5" thickBot="1">
      <c r="E24" s="7" t="s">
        <v>121</v>
      </c>
    </row>
  </sheetData>
  <autoFilter ref="A1:E15" xr:uid="{03156433-8788-4196-A79D-9790F236E9A5}">
    <sortState xmlns:xlrd2="http://schemas.microsoft.com/office/spreadsheetml/2017/richdata2" ref="A2:E24">
      <sortCondition ref="B1:B15"/>
    </sortState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036A-9602-4DF5-83D0-B2CD9E9DCCFC}">
  <dimension ref="B1:N20"/>
  <sheetViews>
    <sheetView showGridLines="0" topLeftCell="D1" zoomScale="70" zoomScaleNormal="70" workbookViewId="0">
      <selection activeCell="N7" sqref="N7"/>
    </sheetView>
  </sheetViews>
  <sheetFormatPr defaultColWidth="11.42578125" defaultRowHeight="15"/>
  <cols>
    <col min="2" max="14" width="35.7109375" style="84" customWidth="1"/>
  </cols>
  <sheetData>
    <row r="1" spans="2:14">
      <c r="C1"/>
    </row>
    <row r="2" spans="2:14" ht="31.5" customHeight="1">
      <c r="C2" s="4"/>
      <c r="D2" s="101"/>
      <c r="E2" s="101"/>
      <c r="F2" s="101"/>
      <c r="G2" s="101"/>
      <c r="H2" s="101"/>
    </row>
    <row r="3" spans="2:14" ht="28.5">
      <c r="B3" s="286" t="s">
        <v>1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</row>
    <row r="4" spans="2:14" ht="45" customHeight="1">
      <c r="B4" s="102" t="s">
        <v>122</v>
      </c>
      <c r="C4" s="3" t="s">
        <v>123</v>
      </c>
      <c r="D4" s="85" t="s">
        <v>124</v>
      </c>
      <c r="E4" s="85" t="s">
        <v>125</v>
      </c>
      <c r="F4" s="85" t="s">
        <v>126</v>
      </c>
      <c r="G4" s="85" t="s">
        <v>127</v>
      </c>
      <c r="H4" s="85" t="s">
        <v>128</v>
      </c>
      <c r="I4" s="85" t="s">
        <v>129</v>
      </c>
      <c r="J4" s="85" t="s">
        <v>130</v>
      </c>
      <c r="K4" s="85" t="s">
        <v>131</v>
      </c>
      <c r="L4" s="86" t="s">
        <v>132</v>
      </c>
      <c r="M4" s="86" t="s">
        <v>133</v>
      </c>
      <c r="N4" s="87" t="s">
        <v>134</v>
      </c>
    </row>
    <row r="5" spans="2:14" ht="45" customHeight="1">
      <c r="B5" s="159" t="s">
        <v>74</v>
      </c>
      <c r="C5" s="140">
        <f>IFERROR(VLOOKUP(B5, Base_numéro!A:B, 2, FALSE), "")</f>
        <v>620024461</v>
      </c>
      <c r="D5" s="143" t="s">
        <v>140</v>
      </c>
      <c r="E5" s="143" t="s">
        <v>141</v>
      </c>
      <c r="F5" s="144">
        <v>44159</v>
      </c>
      <c r="G5" s="144" t="s">
        <v>54</v>
      </c>
      <c r="H5" s="143" t="s">
        <v>142</v>
      </c>
      <c r="I5" s="108"/>
      <c r="J5" s="143" t="s">
        <v>143</v>
      </c>
      <c r="K5" s="143" t="s">
        <v>144</v>
      </c>
      <c r="L5" s="109"/>
      <c r="M5" s="110" t="s">
        <v>172</v>
      </c>
      <c r="N5" s="132" t="s">
        <v>107</v>
      </c>
    </row>
    <row r="6" spans="2:14" ht="45" customHeight="1">
      <c r="B6" s="159" t="s">
        <v>69</v>
      </c>
      <c r="C6" s="140">
        <f>IFERROR(VLOOKUP(B6, Base_numéro!A:B, 2, FALSE), "")</f>
        <v>612938590</v>
      </c>
      <c r="D6" s="108" t="s">
        <v>135</v>
      </c>
      <c r="E6" s="108" t="s">
        <v>136</v>
      </c>
      <c r="F6" s="112">
        <v>45009</v>
      </c>
      <c r="G6" s="113" t="s">
        <v>137</v>
      </c>
      <c r="H6" s="108"/>
      <c r="I6" s="108"/>
      <c r="J6" s="108" t="s">
        <v>138</v>
      </c>
      <c r="K6" s="108" t="s">
        <v>139</v>
      </c>
      <c r="L6" s="109"/>
      <c r="M6" s="110"/>
      <c r="N6" s="132" t="s">
        <v>102</v>
      </c>
    </row>
    <row r="7" spans="2:14" ht="45" customHeight="1">
      <c r="B7" s="152"/>
      <c r="C7" s="151" t="str">
        <f>IFERROR(VLOOKUP(B7, Base_numéro!A:B, 2, FALSE), "")</f>
        <v/>
      </c>
      <c r="D7" s="198"/>
      <c r="E7" s="193"/>
      <c r="F7" s="148"/>
      <c r="G7" s="148"/>
      <c r="H7" s="148"/>
      <c r="I7" s="148"/>
      <c r="J7" s="131"/>
      <c r="K7" s="194"/>
      <c r="L7" s="97"/>
      <c r="M7" s="195"/>
      <c r="N7" s="196"/>
    </row>
    <row r="8" spans="2:14" ht="45" customHeight="1">
      <c r="B8" s="152"/>
      <c r="C8" s="151" t="str">
        <f>IFERROR(VLOOKUP(B8, Base_numéro!A:B, 2, FALSE), "")</f>
        <v/>
      </c>
      <c r="D8" s="131"/>
      <c r="E8" s="131"/>
      <c r="F8" s="148"/>
      <c r="G8" s="162"/>
      <c r="H8" s="131"/>
      <c r="I8" s="131"/>
      <c r="J8" s="163"/>
      <c r="K8" s="131"/>
      <c r="L8" s="131"/>
      <c r="M8" s="148"/>
      <c r="N8" s="138"/>
    </row>
    <row r="9" spans="2:14" ht="45" customHeight="1">
      <c r="B9" s="152"/>
      <c r="C9" s="151" t="str">
        <f>IFERROR(VLOOKUP(B9, Base_numéro!A:B, 2, FALSE), "")</f>
        <v/>
      </c>
      <c r="D9" s="131"/>
      <c r="E9" s="131"/>
      <c r="F9" s="148"/>
      <c r="G9" s="148"/>
      <c r="H9" s="131"/>
      <c r="I9" s="131"/>
      <c r="J9" s="131"/>
      <c r="K9" s="131"/>
      <c r="L9" s="131"/>
      <c r="M9" s="148"/>
      <c r="N9" s="138"/>
    </row>
    <row r="10" spans="2:14" ht="45" customHeight="1">
      <c r="B10" s="153"/>
      <c r="C10" s="151" t="str">
        <f>IFERROR(VLOOKUP(B10, Base_numéro!A:B, 2, FALSE), "")</f>
        <v/>
      </c>
      <c r="D10" s="149"/>
      <c r="E10" s="149"/>
      <c r="F10" s="150"/>
      <c r="G10" s="150"/>
      <c r="H10" s="149"/>
      <c r="I10" s="149"/>
      <c r="J10" s="149"/>
      <c r="K10" s="149"/>
      <c r="L10" s="131"/>
      <c r="M10" s="150"/>
      <c r="N10" s="139"/>
    </row>
    <row r="11" spans="2:14" ht="45" customHeight="1">
      <c r="B11" s="152"/>
      <c r="C11" s="154" t="str">
        <f>IFERROR(VLOOKUP(B11, Base_numéro!A:B, 2, FALSE), "")</f>
        <v/>
      </c>
      <c r="D11" s="131"/>
      <c r="E11" s="131"/>
      <c r="F11" s="148"/>
      <c r="G11" s="148"/>
      <c r="H11" s="131"/>
      <c r="I11" s="131"/>
      <c r="J11" s="131"/>
      <c r="K11" s="131"/>
      <c r="L11" s="131"/>
      <c r="M11" s="148"/>
      <c r="N11" s="137"/>
    </row>
    <row r="12" spans="2:14" ht="45" customHeight="1">
      <c r="B12" s="152"/>
      <c r="C12" s="154" t="str">
        <f>IFERROR(VLOOKUP(B12, Base_numéro!A:B, 2, FALSE), "")</f>
        <v/>
      </c>
      <c r="D12" s="131"/>
      <c r="E12" s="131"/>
      <c r="F12" s="148"/>
      <c r="G12" s="148"/>
      <c r="H12" s="131"/>
      <c r="I12" s="131"/>
      <c r="J12" s="131"/>
      <c r="K12" s="131"/>
      <c r="L12" s="131"/>
      <c r="M12" s="148"/>
      <c r="N12" s="137"/>
    </row>
    <row r="13" spans="2:14" ht="45" customHeight="1">
      <c r="B13" s="152"/>
      <c r="C13" s="154" t="str">
        <f>IFERROR(VLOOKUP(B13, Base_numéro!A:B, 2, FALSE), "")</f>
        <v/>
      </c>
      <c r="D13" s="131"/>
      <c r="E13" s="131"/>
      <c r="F13" s="148"/>
      <c r="G13" s="148"/>
      <c r="H13" s="131"/>
      <c r="I13" s="131"/>
      <c r="J13" s="131"/>
      <c r="K13" s="131"/>
      <c r="L13" s="131"/>
      <c r="M13" s="148"/>
      <c r="N13" s="137"/>
    </row>
    <row r="14" spans="2:14" ht="45" customHeight="1">
      <c r="B14" s="152"/>
      <c r="C14" s="154" t="str">
        <f>IFERROR(VLOOKUP(B14, Base_numéro!A:B, 2, FALSE), "")</f>
        <v/>
      </c>
      <c r="D14" s="131"/>
      <c r="E14" s="131"/>
      <c r="F14" s="148"/>
      <c r="G14" s="148"/>
      <c r="H14" s="131"/>
      <c r="I14" s="131"/>
      <c r="J14" s="131"/>
      <c r="K14" s="131"/>
      <c r="L14" s="131"/>
      <c r="M14" s="148"/>
      <c r="N14" s="137"/>
    </row>
    <row r="15" spans="2:14" ht="45" customHeight="1">
      <c r="B15" s="152"/>
      <c r="C15" s="154" t="str">
        <f>IFERROR(VLOOKUP(B15, Base_numéro!A:B, 2, FALSE), "")</f>
        <v/>
      </c>
      <c r="D15" s="131"/>
      <c r="E15" s="131"/>
      <c r="F15" s="148"/>
      <c r="G15" s="148"/>
      <c r="H15" s="131"/>
      <c r="I15" s="131"/>
      <c r="J15" s="131"/>
      <c r="K15" s="131"/>
      <c r="L15" s="131"/>
      <c r="M15" s="148"/>
      <c r="N15" s="137"/>
    </row>
    <row r="16" spans="2:14" ht="45" customHeight="1">
      <c r="B16" s="152"/>
      <c r="C16" s="154" t="str">
        <f>IFERROR(VLOOKUP(B16, Base_numéro!A:B, 2, FALSE), "")</f>
        <v/>
      </c>
      <c r="D16" s="131"/>
      <c r="E16" s="131"/>
      <c r="F16" s="148"/>
      <c r="G16" s="148"/>
      <c r="H16" s="131"/>
      <c r="I16" s="131"/>
      <c r="J16" s="131"/>
      <c r="K16" s="131"/>
      <c r="L16" s="131"/>
      <c r="M16" s="148"/>
      <c r="N16" s="137"/>
    </row>
    <row r="17" spans="2:14" ht="45" customHeight="1">
      <c r="B17" s="152"/>
      <c r="C17" s="154" t="str">
        <f>IFERROR(VLOOKUP(B17, Base_numéro!A:B, 2, FALSE), "")</f>
        <v/>
      </c>
      <c r="D17" s="131"/>
      <c r="E17" s="131"/>
      <c r="F17" s="148"/>
      <c r="G17" s="148"/>
      <c r="H17" s="131"/>
      <c r="I17" s="131"/>
      <c r="J17" s="131"/>
      <c r="K17" s="131"/>
      <c r="L17" s="131"/>
      <c r="M17" s="148"/>
      <c r="N17" s="137"/>
    </row>
    <row r="18" spans="2:14" ht="45" customHeight="1">
      <c r="B18" s="152"/>
      <c r="C18" s="154" t="str">
        <f>IFERROR(VLOOKUP(B18, Base_numéro!A:B, 2, FALSE), "")</f>
        <v/>
      </c>
      <c r="D18" s="131"/>
      <c r="E18" s="131"/>
      <c r="F18" s="148"/>
      <c r="G18" s="148"/>
      <c r="H18" s="131"/>
      <c r="I18" s="131"/>
      <c r="J18" s="131"/>
      <c r="K18" s="131"/>
      <c r="L18" s="131"/>
      <c r="M18" s="148"/>
      <c r="N18" s="137"/>
    </row>
    <row r="19" spans="2:14" ht="45" customHeight="1">
      <c r="B19" s="152"/>
      <c r="C19" s="154" t="str">
        <f>IFERROR(VLOOKUP(B19, Base_numéro!A:B, 2, FALSE), "")</f>
        <v/>
      </c>
      <c r="D19" s="131"/>
      <c r="E19" s="131"/>
      <c r="F19" s="148"/>
      <c r="G19" s="148"/>
      <c r="H19" s="131"/>
      <c r="I19" s="131"/>
      <c r="J19" s="131"/>
      <c r="K19" s="131"/>
      <c r="L19" s="131"/>
      <c r="M19" s="148"/>
      <c r="N19" s="137"/>
    </row>
    <row r="20" spans="2:14" ht="45" customHeight="1">
      <c r="B20" s="152"/>
      <c r="C20" s="154" t="str">
        <f>IFERROR(VLOOKUP(B20, Base_numéro!A:B, 2, FALSE), "")</f>
        <v/>
      </c>
      <c r="D20" s="131"/>
      <c r="E20" s="131"/>
      <c r="F20" s="148"/>
      <c r="G20" s="148"/>
      <c r="H20" s="131"/>
      <c r="I20" s="131"/>
      <c r="J20" s="131"/>
      <c r="K20" s="131"/>
      <c r="L20" s="131"/>
      <c r="M20" s="148"/>
      <c r="N20" s="137"/>
    </row>
  </sheetData>
  <sheetProtection algorithmName="SHA-512" hashValue="euXB5KOrNHC0EKoDP4gjnS9TauKWQ24HLlu30N9bfVIr5X07mkIjQ3cXBP+nFOv0J6oSQxZalK+v7JTP1IH2pA==" saltValue="5D/vslhp7l0LFusv2J+Z7g==" spinCount="100000" sheet="1" objects="1" scenarios="1" formatCells="0" formatColumns="0" formatRows="0" insertRows="0" deleteRows="0" sort="0" autoFilter="0"/>
  <mergeCells count="1">
    <mergeCell ref="B3:N3"/>
  </mergeCells>
  <pageMargins left="0.7" right="0.7" top="0.75" bottom="0.75" header="0.3" footer="0.3"/>
  <pageSetup paperSize="9" orientation="portrait" horizontalDpi="200" verticalDpi="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C5B93AB-E512-46D7-BDB9-0F4E4C5A4298}">
          <x14:formula1>
            <xm:f>'Base Janvier'!$A$2:$A$22</xm:f>
          </x14:formula1>
          <xm:sqref>B21:B1048576</xm:sqref>
        </x14:dataValidation>
        <x14:dataValidation type="list" allowBlank="1" showInputMessage="1" showErrorMessage="1" xr:uid="{BF54A10F-9B6C-46C6-8A3C-FC9FDF78F11F}">
          <x14:formula1>
            <xm:f>'Base Janvier'!$E$2:$E$24</xm:f>
          </x14:formula1>
          <xm:sqref>L1:L2 L21:L1048576</xm:sqref>
        </x14:dataValidation>
        <x14:dataValidation type="list" allowBlank="1" showInputMessage="1" showErrorMessage="1" xr:uid="{D262BA9D-7368-457B-88B2-0FE995DF22FA}">
          <x14:formula1>
            <xm:f>'Base Mois'!$A$2:$A$13</xm:f>
          </x14:formula1>
          <xm:sqref>B3</xm:sqref>
        </x14:dataValidation>
        <x14:dataValidation type="list" allowBlank="1" showInputMessage="1" showErrorMessage="1" xr:uid="{CA71398C-05B4-4C92-B874-0921A53F4F57}">
          <x14:formula1>
            <xm:f>'Base Janvier'!$A$2:$A$15</xm:f>
          </x14:formula1>
          <xm:sqref>B1</xm:sqref>
        </x14:dataValidation>
        <x14:dataValidation type="list" allowBlank="1" showInputMessage="1" showErrorMessage="1" xr:uid="{F2A19070-489A-4EC6-AF91-CA32366D8A62}">
          <x14:formula1>
            <xm:f>'Base Octobre'!$A$2:$A$22</xm:f>
          </x14:formula1>
          <xm:sqref>B5:B20</xm:sqref>
        </x14:dataValidation>
        <x14:dataValidation type="list" allowBlank="1" showInputMessage="1" showErrorMessage="1" xr:uid="{4A8C4426-50AC-463D-83B2-1ED48F830472}">
          <x14:formula1>
            <xm:f>'Base Octobre'!$E$2:$E$24</xm:f>
          </x14:formula1>
          <xm:sqref>N5:N20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3FBB-EA06-4A64-BBFF-C5A87D62E2D6}">
  <dimension ref="A1:H24"/>
  <sheetViews>
    <sheetView zoomScaleNormal="100" workbookViewId="0">
      <selection activeCell="E15" sqref="E15"/>
    </sheetView>
  </sheetViews>
  <sheetFormatPr defaultColWidth="11.42578125" defaultRowHeight="15"/>
  <cols>
    <col min="1" max="1" width="36" bestFit="1" customWidth="1"/>
    <col min="2" max="2" width="42.5703125" bestFit="1" customWidth="1"/>
    <col min="4" max="4" width="14.85546875" customWidth="1"/>
    <col min="5" max="5" width="24.7109375" customWidth="1"/>
  </cols>
  <sheetData>
    <row r="1" spans="1:8" ht="30.75" thickBot="1">
      <c r="A1" s="6" t="s">
        <v>94</v>
      </c>
      <c r="B1" s="12" t="s">
        <v>95</v>
      </c>
      <c r="C1" s="2" t="s">
        <v>96</v>
      </c>
      <c r="D1" s="2" t="s">
        <v>97</v>
      </c>
      <c r="E1" s="6" t="s">
        <v>98</v>
      </c>
    </row>
    <row r="2" spans="1:8" ht="19.5" thickBot="1">
      <c r="A2" s="16" t="str">
        <f t="shared" ref="A2:A22" si="0">IF(D2&gt;0,B2," ")</f>
        <v>BEW170 - HUAWEI Mobile 4G</v>
      </c>
      <c r="B2" s="14" t="s">
        <v>65</v>
      </c>
      <c r="C2" s="5">
        <v>1</v>
      </c>
      <c r="D2" s="5">
        <f>C2-(COUNTIF(Novembre!$N$5:$N$75,'Base Novembre'!E2))</f>
        <v>1</v>
      </c>
      <c r="E2" s="17" t="s">
        <v>99</v>
      </c>
    </row>
    <row r="3" spans="1:8" ht="19.5" thickBot="1">
      <c r="A3" s="16" t="str">
        <f t="shared" si="0"/>
        <v>BEW172 - HUAWEI Mobile 4G</v>
      </c>
      <c r="B3" s="15" t="s">
        <v>67</v>
      </c>
      <c r="C3" s="5">
        <v>1</v>
      </c>
      <c r="D3" s="5">
        <f>C3-(COUNTIF(Novembre!$N$5:$N$75,'Base Novembre'!E3))</f>
        <v>1</v>
      </c>
      <c r="E3" s="18" t="s">
        <v>100</v>
      </c>
      <c r="H3" s="1"/>
    </row>
    <row r="4" spans="1:8" ht="19.5" thickBot="1">
      <c r="A4" s="16" t="str">
        <f t="shared" si="0"/>
        <v>TLP1462 - iPhone 5S</v>
      </c>
      <c r="B4" s="15" t="s">
        <v>68</v>
      </c>
      <c r="C4" s="5">
        <v>1</v>
      </c>
      <c r="D4" s="5">
        <f>C4-(COUNTIF(Novembre!$N$5:$N$75,'Base Novembre'!E4))</f>
        <v>1</v>
      </c>
      <c r="E4" s="18" t="s">
        <v>101</v>
      </c>
    </row>
    <row r="5" spans="1:8" ht="19.5" thickBot="1">
      <c r="A5" s="16" t="str">
        <f t="shared" si="0"/>
        <v xml:space="preserve"> </v>
      </c>
      <c r="B5" s="14" t="s">
        <v>69</v>
      </c>
      <c r="C5" s="5">
        <v>1</v>
      </c>
      <c r="D5" s="5">
        <f>C5-(COUNTIF(Novembre!$N$5:$N$75,'Base Novembre'!E5))</f>
        <v>0</v>
      </c>
      <c r="E5" s="17" t="s">
        <v>102</v>
      </c>
    </row>
    <row r="6" spans="1:8" ht="19.5" thickBot="1">
      <c r="A6" s="16" t="str">
        <f t="shared" si="0"/>
        <v>TLP1733 - Crosscall  Spider X-1</v>
      </c>
      <c r="B6" s="15" t="s">
        <v>70</v>
      </c>
      <c r="C6" s="5">
        <v>1</v>
      </c>
      <c r="D6" s="5">
        <f>C6-(COUNTIF(Novembre!$N$5:$N$75,'Base Novembre'!E6))</f>
        <v>1</v>
      </c>
      <c r="E6" s="18" t="s">
        <v>103</v>
      </c>
    </row>
    <row r="7" spans="1:8" ht="19.5" thickBot="1">
      <c r="A7" s="16" t="str">
        <f t="shared" si="0"/>
        <v>TLP1734 - Crosscall  Spider X-1</v>
      </c>
      <c r="B7" s="14" t="s">
        <v>71</v>
      </c>
      <c r="C7" s="5">
        <v>1</v>
      </c>
      <c r="D7" s="5">
        <f>C7-(COUNTIF(Novembre!$N$5:$N$75,'Base Novembre'!E7))</f>
        <v>1</v>
      </c>
      <c r="E7" s="17" t="s">
        <v>104</v>
      </c>
    </row>
    <row r="8" spans="1:8" ht="19.5" thickBot="1">
      <c r="A8" s="16" t="str">
        <f t="shared" si="0"/>
        <v>TLP1735 - Crosscall  Spider X-1</v>
      </c>
      <c r="B8" s="15" t="s">
        <v>72</v>
      </c>
      <c r="C8" s="5">
        <v>1</v>
      </c>
      <c r="D8" s="5">
        <f>C8-(COUNTIF(Novembre!$N$5:$N$75,'Base Novembre'!E8))</f>
        <v>1</v>
      </c>
      <c r="E8" s="18" t="s">
        <v>105</v>
      </c>
    </row>
    <row r="9" spans="1:8" ht="19.5" thickBot="1">
      <c r="A9" s="16" t="str">
        <f t="shared" si="0"/>
        <v>TLP1736 - Crosscall  Spider X-1</v>
      </c>
      <c r="B9" s="14" t="s">
        <v>73</v>
      </c>
      <c r="C9" s="5">
        <v>1</v>
      </c>
      <c r="D9" s="5">
        <f>C9-(COUNTIF(Novembre!$N$5:$N$75,'Base Novembre'!E9))</f>
        <v>1</v>
      </c>
      <c r="E9" s="17" t="s">
        <v>106</v>
      </c>
    </row>
    <row r="10" spans="1:8" ht="19.5" thickBot="1">
      <c r="A10" s="16" t="str">
        <f t="shared" si="0"/>
        <v xml:space="preserve"> </v>
      </c>
      <c r="B10" s="15" t="s">
        <v>74</v>
      </c>
      <c r="C10" s="5">
        <v>1</v>
      </c>
      <c r="D10" s="5">
        <f>C10-(COUNTIF(Novembre!$N$5:$N$75,'Base Novembre'!E10))</f>
        <v>0</v>
      </c>
      <c r="E10" s="18" t="s">
        <v>107</v>
      </c>
    </row>
    <row r="11" spans="1:8" ht="19.5" thickBot="1">
      <c r="A11" s="16" t="str">
        <f t="shared" si="0"/>
        <v>TLP1862 - Mission Sensible</v>
      </c>
      <c r="B11" s="13" t="s">
        <v>75</v>
      </c>
      <c r="C11" s="5">
        <v>1</v>
      </c>
      <c r="D11" s="5">
        <f>C11-(COUNTIF(Novembre!$N$5:$N$75,'Base Novembre'!E11))</f>
        <v>1</v>
      </c>
      <c r="E11" s="19" t="s">
        <v>108</v>
      </c>
    </row>
    <row r="12" spans="1:8" ht="19.5" thickBot="1">
      <c r="A12" s="16" t="str">
        <f t="shared" si="0"/>
        <v>TLP1866 - Mission Sensible</v>
      </c>
      <c r="B12" s="13" t="s">
        <v>76</v>
      </c>
      <c r="C12" s="5">
        <v>1</v>
      </c>
      <c r="D12" s="5">
        <f>C12-(COUNTIF(Novembre!$N$5:$N$75,'Base Novembre'!E12))</f>
        <v>1</v>
      </c>
      <c r="E12" s="19" t="s">
        <v>109</v>
      </c>
    </row>
    <row r="13" spans="1:8" ht="19.5" thickBot="1">
      <c r="A13" s="16" t="str">
        <f t="shared" si="0"/>
        <v>TLP1872 - Mission Sensible</v>
      </c>
      <c r="B13" s="13" t="s">
        <v>77</v>
      </c>
      <c r="C13" s="5">
        <v>1</v>
      </c>
      <c r="D13" s="5">
        <f>C13-(COUNTIF(Novembre!$N$5:$N$75,'Base Novembre'!E13))</f>
        <v>1</v>
      </c>
      <c r="E13" s="19" t="s">
        <v>110</v>
      </c>
    </row>
    <row r="14" spans="1:8" ht="19.5" thickBot="1">
      <c r="A14" s="16" t="str">
        <f t="shared" si="0"/>
        <v>TLP1878 - iPhone 7 - 10GB Data</v>
      </c>
      <c r="B14" s="14" t="s">
        <v>79</v>
      </c>
      <c r="C14" s="5">
        <v>1</v>
      </c>
      <c r="D14" s="5">
        <f>C14-(COUNTIF(Novembre!$N$5:$N$75,'Base Novembre'!E14))</f>
        <v>1</v>
      </c>
      <c r="E14" s="17" t="s">
        <v>111</v>
      </c>
    </row>
    <row r="15" spans="1:8" ht="19.5" thickBot="1">
      <c r="A15" s="16" t="str">
        <f t="shared" si="0"/>
        <v>TLP1894 - Mission Sensible</v>
      </c>
      <c r="B15" s="13" t="s">
        <v>80</v>
      </c>
      <c r="C15" s="5">
        <v>1</v>
      </c>
      <c r="D15" s="5">
        <f>C15-(COUNTIF(Novembre!$N$5:$N$75,'Base Novembre'!E15))</f>
        <v>1</v>
      </c>
      <c r="E15" s="19" t="s">
        <v>112</v>
      </c>
    </row>
    <row r="16" spans="1:8" ht="19.5" thickBot="1">
      <c r="A16" s="16" t="str">
        <f t="shared" si="0"/>
        <v>TLP1903 - Mission Sensible</v>
      </c>
      <c r="B16" s="13" t="s">
        <v>81</v>
      </c>
      <c r="C16" s="5">
        <v>1</v>
      </c>
      <c r="D16" s="5">
        <f>C16-(COUNTIF(Novembre!$N$5:$N$75,'Base Novembre'!E16))</f>
        <v>1</v>
      </c>
      <c r="E16" s="19" t="s">
        <v>113</v>
      </c>
    </row>
    <row r="17" spans="1:5" ht="19.5" thickBot="1">
      <c r="A17" s="16" t="str">
        <f t="shared" si="0"/>
        <v>TLP1904 - Mission Sensible</v>
      </c>
      <c r="B17" s="13" t="s">
        <v>83</v>
      </c>
      <c r="C17" s="5">
        <v>1</v>
      </c>
      <c r="D17" s="5">
        <f>C17-(COUNTIF(Novembre!$N$5:$N$75,'Base Novembre'!E17))</f>
        <v>1</v>
      </c>
      <c r="E17" s="19" t="s">
        <v>114</v>
      </c>
    </row>
    <row r="18" spans="1:5" ht="19.5" thickBot="1">
      <c r="A18" s="16" t="str">
        <f t="shared" si="0"/>
        <v>TLP2181 - Crosscall  Spider X-5</v>
      </c>
      <c r="B18" s="14" t="s">
        <v>85</v>
      </c>
      <c r="C18" s="5">
        <v>1</v>
      </c>
      <c r="D18" s="5">
        <f>C18-(COUNTIF(Novembre!$N$5:$N$75,'Base Novembre'!E18))</f>
        <v>1</v>
      </c>
      <c r="E18" s="17" t="s">
        <v>115</v>
      </c>
    </row>
    <row r="19" spans="1:5" ht="19.5" thickBot="1">
      <c r="A19" s="16" t="str">
        <f t="shared" si="0"/>
        <v>TLP2183 - Crosscall  Spider X-5</v>
      </c>
      <c r="B19" s="15" t="s">
        <v>87</v>
      </c>
      <c r="C19" s="5">
        <v>1</v>
      </c>
      <c r="D19" s="5">
        <f>C19-(COUNTIF(Novembre!$N$5:$N$75,'Base Novembre'!E19))</f>
        <v>1</v>
      </c>
      <c r="E19" s="18" t="s">
        <v>116</v>
      </c>
    </row>
    <row r="20" spans="1:5" ht="19.5" thickBot="1">
      <c r="A20" s="16" t="str">
        <f t="shared" si="0"/>
        <v>TLP2184 - Crosscall  Spider X-5</v>
      </c>
      <c r="B20" s="14" t="s">
        <v>89</v>
      </c>
      <c r="C20" s="5">
        <v>1</v>
      </c>
      <c r="D20" s="5">
        <f>C20-(COUNTIF(Novembre!$N$5:$N$75,'Base Novembre'!E20))</f>
        <v>1</v>
      </c>
      <c r="E20" s="17" t="s">
        <v>117</v>
      </c>
    </row>
    <row r="21" spans="1:5" ht="19.5" thickBot="1">
      <c r="A21" s="16" t="str">
        <f t="shared" si="0"/>
        <v>TLP2196 - CROSSCALL CORE M5</v>
      </c>
      <c r="B21" s="14" t="s">
        <v>90</v>
      </c>
      <c r="C21" s="5">
        <v>1</v>
      </c>
      <c r="D21" s="5">
        <f>C21-(COUNTIF(Novembre!$N$5:$N$75,'Base Novembre'!E21))</f>
        <v>1</v>
      </c>
      <c r="E21" s="17" t="s">
        <v>118</v>
      </c>
    </row>
    <row r="22" spans="1:5" ht="19.5" thickBot="1">
      <c r="A22" s="16" t="str">
        <f t="shared" si="0"/>
        <v>TLP2197 - CROSSCALL CORE M5</v>
      </c>
      <c r="B22" s="14" t="s">
        <v>91</v>
      </c>
      <c r="C22" s="5">
        <v>1</v>
      </c>
      <c r="D22" s="5">
        <f>C22-(COUNTIF(Novembre!$N$5:$N$75,'Base Novembre'!E22))</f>
        <v>1</v>
      </c>
      <c r="E22" s="17" t="s">
        <v>119</v>
      </c>
    </row>
    <row r="23" spans="1:5" ht="19.5" thickBot="1">
      <c r="E23" s="7" t="s">
        <v>120</v>
      </c>
    </row>
    <row r="24" spans="1:5" ht="19.5" thickBot="1">
      <c r="E24" s="7" t="s">
        <v>121</v>
      </c>
    </row>
  </sheetData>
  <autoFilter ref="A1:E15" xr:uid="{03156433-8788-4196-A79D-9790F236E9A5}">
    <sortState xmlns:xlrd2="http://schemas.microsoft.com/office/spreadsheetml/2017/richdata2" ref="A2:E24">
      <sortCondition ref="B1:B15"/>
    </sortState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C940-B205-4490-B7E2-B7F42698FF5A}">
  <dimension ref="A1:H24"/>
  <sheetViews>
    <sheetView zoomScaleNormal="100" workbookViewId="0">
      <selection activeCell="E15" sqref="E15"/>
    </sheetView>
  </sheetViews>
  <sheetFormatPr defaultColWidth="11.42578125" defaultRowHeight="15"/>
  <cols>
    <col min="1" max="1" width="36" bestFit="1" customWidth="1"/>
    <col min="2" max="2" width="42.5703125" bestFit="1" customWidth="1"/>
    <col min="4" max="4" width="14.85546875" customWidth="1"/>
    <col min="5" max="5" width="24.7109375" customWidth="1"/>
  </cols>
  <sheetData>
    <row r="1" spans="1:8" ht="30.75" thickBot="1">
      <c r="A1" s="6" t="s">
        <v>94</v>
      </c>
      <c r="B1" s="12" t="s">
        <v>95</v>
      </c>
      <c r="C1" s="2" t="s">
        <v>96</v>
      </c>
      <c r="D1" s="2" t="s">
        <v>97</v>
      </c>
      <c r="E1" s="6" t="s">
        <v>98</v>
      </c>
    </row>
    <row r="2" spans="1:8" ht="19.5" thickBot="1">
      <c r="A2" s="16" t="str">
        <f t="shared" ref="A2:A22" si="0">IF(D2&gt;0,B2," ")</f>
        <v>BEW170 - HUAWEI Mobile 4G</v>
      </c>
      <c r="B2" s="14" t="s">
        <v>65</v>
      </c>
      <c r="C2" s="5">
        <v>1</v>
      </c>
      <c r="D2" s="5">
        <f>C2-(COUNTIF(Décembre!$N$5:$N$75,'Base Décembre'!E2))</f>
        <v>1</v>
      </c>
      <c r="E2" s="17" t="s">
        <v>99</v>
      </c>
    </row>
    <row r="3" spans="1:8" ht="19.5" thickBot="1">
      <c r="A3" s="16" t="str">
        <f t="shared" si="0"/>
        <v>BEW172 - HUAWEI Mobile 4G</v>
      </c>
      <c r="B3" s="15" t="s">
        <v>67</v>
      </c>
      <c r="C3" s="5">
        <v>1</v>
      </c>
      <c r="D3" s="5">
        <f>C3-(COUNTIF(Décembre!$N$5:$N$75,'Base Décembre'!E3))</f>
        <v>1</v>
      </c>
      <c r="E3" s="18" t="s">
        <v>100</v>
      </c>
      <c r="H3" s="1"/>
    </row>
    <row r="4" spans="1:8" ht="19.5" thickBot="1">
      <c r="A4" s="16" t="str">
        <f t="shared" si="0"/>
        <v>TLP1462 - iPhone 5S</v>
      </c>
      <c r="B4" s="15" t="s">
        <v>68</v>
      </c>
      <c r="C4" s="5">
        <v>1</v>
      </c>
      <c r="D4" s="5">
        <f>C4-(COUNTIF(Décembre!$N$5:$N$75,'Base Décembre'!E4))</f>
        <v>1</v>
      </c>
      <c r="E4" s="18" t="s">
        <v>101</v>
      </c>
    </row>
    <row r="5" spans="1:8" ht="19.5" thickBot="1">
      <c r="A5" s="16" t="str">
        <f t="shared" si="0"/>
        <v xml:space="preserve"> </v>
      </c>
      <c r="B5" s="14" t="s">
        <v>69</v>
      </c>
      <c r="C5" s="5">
        <v>1</v>
      </c>
      <c r="D5" s="5">
        <f>C5-(COUNTIF(Décembre!$N$5:$N$75,'Base Décembre'!E5))</f>
        <v>0</v>
      </c>
      <c r="E5" s="17" t="s">
        <v>102</v>
      </c>
    </row>
    <row r="6" spans="1:8" ht="19.5" thickBot="1">
      <c r="A6" s="16" t="str">
        <f t="shared" si="0"/>
        <v>TLP1733 - Crosscall  Spider X-1</v>
      </c>
      <c r="B6" s="15" t="s">
        <v>70</v>
      </c>
      <c r="C6" s="5">
        <v>1</v>
      </c>
      <c r="D6" s="5">
        <f>C6-(COUNTIF(Décembre!$N$5:$N$75,'Base Décembre'!E6))</f>
        <v>1</v>
      </c>
      <c r="E6" s="18" t="s">
        <v>103</v>
      </c>
    </row>
    <row r="7" spans="1:8" ht="19.5" thickBot="1">
      <c r="A7" s="16" t="str">
        <f t="shared" si="0"/>
        <v>TLP1734 - Crosscall  Spider X-1</v>
      </c>
      <c r="B7" s="14" t="s">
        <v>71</v>
      </c>
      <c r="C7" s="5">
        <v>1</v>
      </c>
      <c r="D7" s="5">
        <f>C7-(COUNTIF(Décembre!$N$5:$N$75,'Base Décembre'!E7))</f>
        <v>1</v>
      </c>
      <c r="E7" s="17" t="s">
        <v>104</v>
      </c>
    </row>
    <row r="8" spans="1:8" ht="19.5" thickBot="1">
      <c r="A8" s="16" t="str">
        <f t="shared" si="0"/>
        <v>TLP1735 - Crosscall  Spider X-1</v>
      </c>
      <c r="B8" s="15" t="s">
        <v>72</v>
      </c>
      <c r="C8" s="5">
        <v>1</v>
      </c>
      <c r="D8" s="5">
        <f>C8-(COUNTIF(Décembre!$N$5:$N$75,'Base Décembre'!E8))</f>
        <v>1</v>
      </c>
      <c r="E8" s="18" t="s">
        <v>105</v>
      </c>
    </row>
    <row r="9" spans="1:8" ht="19.5" thickBot="1">
      <c r="A9" s="16" t="str">
        <f t="shared" si="0"/>
        <v>TLP1736 - Crosscall  Spider X-1</v>
      </c>
      <c r="B9" s="14" t="s">
        <v>73</v>
      </c>
      <c r="C9" s="5">
        <v>1</v>
      </c>
      <c r="D9" s="5">
        <f>C9-(COUNTIF(Décembre!$N$5:$N$75,'Base Décembre'!E9))</f>
        <v>1</v>
      </c>
      <c r="E9" s="17" t="s">
        <v>106</v>
      </c>
    </row>
    <row r="10" spans="1:8" ht="19.5" thickBot="1">
      <c r="A10" s="16" t="str">
        <f t="shared" si="0"/>
        <v xml:space="preserve"> </v>
      </c>
      <c r="B10" s="15" t="s">
        <v>74</v>
      </c>
      <c r="C10" s="5">
        <v>1</v>
      </c>
      <c r="D10" s="5">
        <f>C10-(COUNTIF(Décembre!$N$5:$N$75,'Base Décembre'!E10))</f>
        <v>0</v>
      </c>
      <c r="E10" s="18" t="s">
        <v>107</v>
      </c>
    </row>
    <row r="11" spans="1:8" ht="19.5" thickBot="1">
      <c r="A11" s="16" t="str">
        <f t="shared" si="0"/>
        <v>TLP1862 - Mission Sensible</v>
      </c>
      <c r="B11" s="13" t="s">
        <v>75</v>
      </c>
      <c r="C11" s="5">
        <v>1</v>
      </c>
      <c r="D11" s="5">
        <f>C11-(COUNTIF(Décembre!$N$5:$N$75,'Base Décembre'!E11))</f>
        <v>1</v>
      </c>
      <c r="E11" s="19" t="s">
        <v>108</v>
      </c>
    </row>
    <row r="12" spans="1:8" ht="19.5" thickBot="1">
      <c r="A12" s="16" t="str">
        <f t="shared" si="0"/>
        <v>TLP1866 - Mission Sensible</v>
      </c>
      <c r="B12" s="13" t="s">
        <v>76</v>
      </c>
      <c r="C12" s="5">
        <v>1</v>
      </c>
      <c r="D12" s="5">
        <f>C12-(COUNTIF(Décembre!$N$5:$N$75,'Base Décembre'!E12))</f>
        <v>1</v>
      </c>
      <c r="E12" s="19" t="s">
        <v>109</v>
      </c>
    </row>
    <row r="13" spans="1:8" ht="19.5" thickBot="1">
      <c r="A13" s="16" t="str">
        <f t="shared" si="0"/>
        <v>TLP1872 - Mission Sensible</v>
      </c>
      <c r="B13" s="13" t="s">
        <v>77</v>
      </c>
      <c r="C13" s="5">
        <v>1</v>
      </c>
      <c r="D13" s="5">
        <f>C13-(COUNTIF(Décembre!$N$5:$N$75,'Base Décembre'!E13))</f>
        <v>1</v>
      </c>
      <c r="E13" s="19" t="s">
        <v>110</v>
      </c>
    </row>
    <row r="14" spans="1:8" ht="19.5" thickBot="1">
      <c r="A14" s="16" t="str">
        <f t="shared" si="0"/>
        <v>TLP1878 - iPhone 7 - 10GB Data</v>
      </c>
      <c r="B14" s="14" t="s">
        <v>79</v>
      </c>
      <c r="C14" s="5">
        <v>1</v>
      </c>
      <c r="D14" s="5">
        <f>C14-(COUNTIF(Décembre!$N$5:$N$75,'Base Décembre'!E14))</f>
        <v>1</v>
      </c>
      <c r="E14" s="17" t="s">
        <v>111</v>
      </c>
    </row>
    <row r="15" spans="1:8" ht="19.5" thickBot="1">
      <c r="A15" s="16" t="str">
        <f t="shared" si="0"/>
        <v>TLP1894 - Mission Sensible</v>
      </c>
      <c r="B15" s="13" t="s">
        <v>80</v>
      </c>
      <c r="C15" s="5">
        <v>1</v>
      </c>
      <c r="D15" s="5">
        <f>C15-(COUNTIF(Décembre!$N$5:$N$75,'Base Décembre'!E15))</f>
        <v>1</v>
      </c>
      <c r="E15" s="19" t="s">
        <v>112</v>
      </c>
    </row>
    <row r="16" spans="1:8" ht="19.5" thickBot="1">
      <c r="A16" s="16" t="str">
        <f t="shared" si="0"/>
        <v>TLP1903 - Mission Sensible</v>
      </c>
      <c r="B16" s="13" t="s">
        <v>81</v>
      </c>
      <c r="C16" s="5">
        <v>1</v>
      </c>
      <c r="D16" s="5">
        <f>C16-(COUNTIF(Décembre!$N$5:$N$75,'Base Décembre'!E16))</f>
        <v>1</v>
      </c>
      <c r="E16" s="19" t="s">
        <v>113</v>
      </c>
    </row>
    <row r="17" spans="1:5" ht="19.5" thickBot="1">
      <c r="A17" s="16" t="str">
        <f t="shared" si="0"/>
        <v>TLP1904 - Mission Sensible</v>
      </c>
      <c r="B17" s="13" t="s">
        <v>83</v>
      </c>
      <c r="C17" s="5">
        <v>1</v>
      </c>
      <c r="D17" s="5">
        <f>C17-(COUNTIF(Décembre!$N$5:$N$75,'Base Décembre'!E17))</f>
        <v>1</v>
      </c>
      <c r="E17" s="19" t="s">
        <v>114</v>
      </c>
    </row>
    <row r="18" spans="1:5" ht="19.5" thickBot="1">
      <c r="A18" s="16" t="str">
        <f t="shared" si="0"/>
        <v>TLP2181 - Crosscall  Spider X-5</v>
      </c>
      <c r="B18" s="14" t="s">
        <v>85</v>
      </c>
      <c r="C18" s="5">
        <v>1</v>
      </c>
      <c r="D18" s="5">
        <f>C18-(COUNTIF(Décembre!$N$5:$N$75,'Base Décembre'!E18))</f>
        <v>1</v>
      </c>
      <c r="E18" s="17" t="s">
        <v>115</v>
      </c>
    </row>
    <row r="19" spans="1:5" ht="19.5" thickBot="1">
      <c r="A19" s="16" t="str">
        <f t="shared" si="0"/>
        <v>TLP2183 - Crosscall  Spider X-5</v>
      </c>
      <c r="B19" s="15" t="s">
        <v>87</v>
      </c>
      <c r="C19" s="5">
        <v>1</v>
      </c>
      <c r="D19" s="5">
        <f>C19-(COUNTIF(Décembre!$N$5:$N$75,'Base Décembre'!E19))</f>
        <v>1</v>
      </c>
      <c r="E19" s="18" t="s">
        <v>116</v>
      </c>
    </row>
    <row r="20" spans="1:5" ht="19.5" thickBot="1">
      <c r="A20" s="16" t="str">
        <f t="shared" si="0"/>
        <v>TLP2184 - Crosscall  Spider X-5</v>
      </c>
      <c r="B20" s="14" t="s">
        <v>89</v>
      </c>
      <c r="C20" s="5">
        <v>1</v>
      </c>
      <c r="D20" s="5">
        <f>C20-(COUNTIF(Décembre!$N$5:$N$75,'Base Décembre'!E20))</f>
        <v>1</v>
      </c>
      <c r="E20" s="17" t="s">
        <v>117</v>
      </c>
    </row>
    <row r="21" spans="1:5" ht="19.5" thickBot="1">
      <c r="A21" s="16" t="str">
        <f t="shared" si="0"/>
        <v>TLP2196 - CROSSCALL CORE M5</v>
      </c>
      <c r="B21" s="14" t="s">
        <v>90</v>
      </c>
      <c r="C21" s="5">
        <v>1</v>
      </c>
      <c r="D21" s="5">
        <f>C21-(COUNTIF(Décembre!$N$5:$N$75,'Base Décembre'!E21))</f>
        <v>1</v>
      </c>
      <c r="E21" s="17" t="s">
        <v>118</v>
      </c>
    </row>
    <row r="22" spans="1:5" ht="19.5" thickBot="1">
      <c r="A22" s="16" t="str">
        <f t="shared" si="0"/>
        <v>TLP2197 - CROSSCALL CORE M5</v>
      </c>
      <c r="B22" s="14" t="s">
        <v>91</v>
      </c>
      <c r="C22" s="5">
        <v>1</v>
      </c>
      <c r="D22" s="5">
        <f>C22-(COUNTIF(Décembre!$N$5:$N$75,'Base Décembre'!E22))</f>
        <v>1</v>
      </c>
      <c r="E22" s="17" t="s">
        <v>119</v>
      </c>
    </row>
    <row r="23" spans="1:5" ht="19.5" thickBot="1">
      <c r="E23" s="7" t="s">
        <v>120</v>
      </c>
    </row>
    <row r="24" spans="1:5" ht="19.5" thickBot="1">
      <c r="E24" s="7" t="s">
        <v>121</v>
      </c>
    </row>
  </sheetData>
  <autoFilter ref="A1:E15" xr:uid="{03156433-8788-4196-A79D-9790F236E9A5}">
    <sortState xmlns:xlrd2="http://schemas.microsoft.com/office/spreadsheetml/2017/richdata2" ref="A2:E24">
      <sortCondition ref="B1:B15"/>
    </sortState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3A45-0662-4FEF-94EC-6EAC4EBEFC3A}">
  <dimension ref="B1:N20"/>
  <sheetViews>
    <sheetView showGridLines="0" topLeftCell="B1" zoomScale="55" zoomScaleNormal="55" workbookViewId="0">
      <selection activeCell="N7" sqref="N7"/>
    </sheetView>
  </sheetViews>
  <sheetFormatPr defaultColWidth="11.42578125" defaultRowHeight="15"/>
  <cols>
    <col min="2" max="2" width="49.42578125" style="84" bestFit="1" customWidth="1"/>
    <col min="3" max="14" width="35.7109375" style="84" customWidth="1"/>
  </cols>
  <sheetData>
    <row r="1" spans="2:14">
      <c r="C1"/>
    </row>
    <row r="2" spans="2:14" ht="31.5" customHeight="1">
      <c r="C2" s="4"/>
      <c r="D2" s="101"/>
      <c r="E2" s="101"/>
      <c r="F2" s="101"/>
      <c r="G2" s="101"/>
      <c r="H2" s="101"/>
    </row>
    <row r="3" spans="2:14" ht="28.5">
      <c r="B3" s="286" t="s">
        <v>1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</row>
    <row r="4" spans="2:14" ht="45" customHeight="1">
      <c r="B4" s="102" t="s">
        <v>122</v>
      </c>
      <c r="C4" s="3" t="s">
        <v>123</v>
      </c>
      <c r="D4" s="85" t="s">
        <v>124</v>
      </c>
      <c r="E4" s="85" t="s">
        <v>125</v>
      </c>
      <c r="F4" s="85" t="s">
        <v>126</v>
      </c>
      <c r="G4" s="85" t="s">
        <v>127</v>
      </c>
      <c r="H4" s="85" t="s">
        <v>128</v>
      </c>
      <c r="I4" s="85" t="s">
        <v>129</v>
      </c>
      <c r="J4" s="85" t="s">
        <v>130</v>
      </c>
      <c r="K4" s="85" t="s">
        <v>131</v>
      </c>
      <c r="L4" s="86" t="s">
        <v>132</v>
      </c>
      <c r="M4" s="86" t="s">
        <v>133</v>
      </c>
      <c r="N4" s="87" t="s">
        <v>134</v>
      </c>
    </row>
    <row r="5" spans="2:14" ht="45" customHeight="1">
      <c r="B5" s="159" t="s">
        <v>74</v>
      </c>
      <c r="C5" s="140">
        <f>IFERROR(VLOOKUP(B5, Base_numéro!A:B, 2, FALSE), "")</f>
        <v>620024461</v>
      </c>
      <c r="D5" s="143" t="s">
        <v>140</v>
      </c>
      <c r="E5" s="143" t="s">
        <v>141</v>
      </c>
      <c r="F5" s="144">
        <v>44159</v>
      </c>
      <c r="G5" s="144" t="s">
        <v>54</v>
      </c>
      <c r="H5" s="143" t="s">
        <v>142</v>
      </c>
      <c r="I5" s="108"/>
      <c r="J5" s="143" t="s">
        <v>143</v>
      </c>
      <c r="K5" s="143" t="s">
        <v>144</v>
      </c>
      <c r="L5" s="109"/>
      <c r="M5" s="110" t="s">
        <v>172</v>
      </c>
      <c r="N5" s="132" t="s">
        <v>107</v>
      </c>
    </row>
    <row r="6" spans="2:14" ht="45" customHeight="1">
      <c r="B6" s="159" t="s">
        <v>69</v>
      </c>
      <c r="C6" s="140">
        <f>IFERROR(VLOOKUP(B6, Base_numéro!A:B, 2, FALSE), "")</f>
        <v>612938590</v>
      </c>
      <c r="D6" s="108" t="s">
        <v>135</v>
      </c>
      <c r="E6" s="108" t="s">
        <v>136</v>
      </c>
      <c r="F6" s="112">
        <v>45009</v>
      </c>
      <c r="G6" s="113" t="s">
        <v>137</v>
      </c>
      <c r="H6" s="108"/>
      <c r="I6" s="108"/>
      <c r="J6" s="108" t="s">
        <v>138</v>
      </c>
      <c r="K6" s="108" t="s">
        <v>139</v>
      </c>
      <c r="L6" s="109"/>
      <c r="M6" s="110"/>
      <c r="N6" s="132" t="s">
        <v>102</v>
      </c>
    </row>
    <row r="7" spans="2:14" ht="45" customHeight="1">
      <c r="B7" s="152"/>
      <c r="C7" s="151" t="str">
        <f>IFERROR(VLOOKUP(B7, Base_numéro!A:B, 2, FALSE), "")</f>
        <v/>
      </c>
      <c r="D7" s="198"/>
      <c r="E7" s="193"/>
      <c r="F7" s="148"/>
      <c r="G7" s="148"/>
      <c r="H7" s="148"/>
      <c r="I7" s="197"/>
      <c r="J7" s="131"/>
      <c r="K7" s="194"/>
      <c r="L7" s="97"/>
      <c r="M7" s="195"/>
      <c r="N7" s="196"/>
    </row>
    <row r="8" spans="2:14" ht="45" customHeight="1">
      <c r="B8" s="152"/>
      <c r="C8" s="151" t="str">
        <f>IFERROR(VLOOKUP(B8, Base_numéro!A:B, 2, FALSE), "")</f>
        <v/>
      </c>
      <c r="D8" s="131"/>
      <c r="E8" s="131"/>
      <c r="F8" s="148"/>
      <c r="G8" s="148"/>
      <c r="H8" s="131"/>
      <c r="I8" s="197"/>
      <c r="J8" s="131"/>
      <c r="K8" s="131"/>
      <c r="L8" s="131"/>
      <c r="M8" s="148"/>
      <c r="N8" s="138"/>
    </row>
    <row r="9" spans="2:14" ht="45" customHeight="1">
      <c r="B9" s="152"/>
      <c r="C9" s="151" t="str">
        <f>IFERROR(VLOOKUP(B9, Base_numéro!A:B, 2, FALSE), "")</f>
        <v/>
      </c>
      <c r="D9" s="131"/>
      <c r="E9" s="131"/>
      <c r="F9" s="148"/>
      <c r="G9" s="148"/>
      <c r="H9" s="131"/>
      <c r="I9" s="131"/>
      <c r="J9" s="131"/>
      <c r="K9" s="131"/>
      <c r="L9" s="131"/>
      <c r="M9" s="148"/>
      <c r="N9" s="138"/>
    </row>
    <row r="10" spans="2:14" ht="45" customHeight="1">
      <c r="B10" s="153"/>
      <c r="C10" s="151" t="str">
        <f>IFERROR(VLOOKUP(B10, Base_numéro!A:B, 2, FALSE), "")</f>
        <v/>
      </c>
      <c r="D10" s="149"/>
      <c r="E10" s="149"/>
      <c r="F10" s="150"/>
      <c r="G10" s="150"/>
      <c r="H10" s="149"/>
      <c r="I10" s="149"/>
      <c r="J10" s="149"/>
      <c r="K10" s="149"/>
      <c r="L10" s="131"/>
      <c r="M10" s="150"/>
      <c r="N10" s="139"/>
    </row>
    <row r="11" spans="2:14" ht="45" customHeight="1">
      <c r="B11" s="152"/>
      <c r="C11" s="154" t="str">
        <f>IFERROR(VLOOKUP(B11, Base_numéro!A:B, 2, FALSE), "")</f>
        <v/>
      </c>
      <c r="D11" s="131"/>
      <c r="E11" s="131"/>
      <c r="F11" s="148"/>
      <c r="G11" s="148"/>
      <c r="H11" s="131"/>
      <c r="I11" s="131"/>
      <c r="J11" s="131"/>
      <c r="K11" s="131"/>
      <c r="L11" s="131"/>
      <c r="M11" s="148"/>
      <c r="N11" s="137"/>
    </row>
    <row r="12" spans="2:14" ht="45" customHeight="1">
      <c r="B12" s="152"/>
      <c r="C12" s="154" t="str">
        <f>IFERROR(VLOOKUP(B12, Base_numéro!A:B, 2, FALSE), "")</f>
        <v/>
      </c>
      <c r="D12" s="131"/>
      <c r="E12" s="131"/>
      <c r="F12" s="148"/>
      <c r="G12" s="148"/>
      <c r="H12" s="131"/>
      <c r="I12" s="131"/>
      <c r="J12" s="131"/>
      <c r="K12" s="131"/>
      <c r="L12" s="131"/>
      <c r="M12" s="148"/>
      <c r="N12" s="137"/>
    </row>
    <row r="13" spans="2:14" ht="45" customHeight="1">
      <c r="B13" s="152"/>
      <c r="C13" s="154" t="str">
        <f>IFERROR(VLOOKUP(B13, Base_numéro!A:B, 2, FALSE), "")</f>
        <v/>
      </c>
      <c r="D13" s="131"/>
      <c r="E13" s="131"/>
      <c r="F13" s="148"/>
      <c r="G13" s="148"/>
      <c r="H13" s="131"/>
      <c r="I13" s="131"/>
      <c r="J13" s="131"/>
      <c r="K13" s="131"/>
      <c r="L13" s="131"/>
      <c r="M13" s="148"/>
      <c r="N13" s="137"/>
    </row>
    <row r="14" spans="2:14" ht="45" customHeight="1">
      <c r="B14" s="152"/>
      <c r="C14" s="154" t="str">
        <f>IFERROR(VLOOKUP(B14, Base_numéro!A:B, 2, FALSE), "")</f>
        <v/>
      </c>
      <c r="D14" s="131"/>
      <c r="E14" s="131"/>
      <c r="F14" s="148"/>
      <c r="G14" s="148"/>
      <c r="H14" s="131"/>
      <c r="I14" s="131"/>
      <c r="J14" s="131"/>
      <c r="K14" s="131"/>
      <c r="L14" s="131"/>
      <c r="M14" s="148"/>
      <c r="N14" s="137"/>
    </row>
    <row r="15" spans="2:14" ht="45" customHeight="1">
      <c r="B15" s="152"/>
      <c r="C15" s="154" t="str">
        <f>IFERROR(VLOOKUP(B15, Base_numéro!A:B, 2, FALSE), "")</f>
        <v/>
      </c>
      <c r="D15" s="131"/>
      <c r="E15" s="131"/>
      <c r="F15" s="148"/>
      <c r="G15" s="148"/>
      <c r="H15" s="131"/>
      <c r="I15" s="131"/>
      <c r="J15" s="131"/>
      <c r="K15" s="131"/>
      <c r="L15" s="131"/>
      <c r="M15" s="148"/>
      <c r="N15" s="137"/>
    </row>
    <row r="16" spans="2:14" ht="45" customHeight="1">
      <c r="B16" s="152"/>
      <c r="C16" s="154" t="str">
        <f>IFERROR(VLOOKUP(B16, Base_numéro!A:B, 2, FALSE), "")</f>
        <v/>
      </c>
      <c r="D16" s="131"/>
      <c r="E16" s="131"/>
      <c r="F16" s="148"/>
      <c r="G16" s="148"/>
      <c r="H16" s="131"/>
      <c r="I16" s="131"/>
      <c r="J16" s="131"/>
      <c r="K16" s="131"/>
      <c r="L16" s="131"/>
      <c r="M16" s="148"/>
      <c r="N16" s="137"/>
    </row>
    <row r="17" spans="2:14" ht="45" customHeight="1">
      <c r="B17" s="152"/>
      <c r="C17" s="154" t="str">
        <f>IFERROR(VLOOKUP(B17, Base_numéro!A:B, 2, FALSE), "")</f>
        <v/>
      </c>
      <c r="D17" s="131"/>
      <c r="E17" s="131"/>
      <c r="F17" s="148"/>
      <c r="G17" s="148"/>
      <c r="H17" s="131"/>
      <c r="I17" s="131"/>
      <c r="J17" s="131"/>
      <c r="K17" s="131"/>
      <c r="L17" s="131"/>
      <c r="M17" s="148"/>
      <c r="N17" s="137"/>
    </row>
    <row r="18" spans="2:14" ht="45" customHeight="1">
      <c r="B18" s="152"/>
      <c r="C18" s="154" t="str">
        <f>IFERROR(VLOOKUP(B18, Base_numéro!A:B, 2, FALSE), "")</f>
        <v/>
      </c>
      <c r="D18" s="131"/>
      <c r="E18" s="131"/>
      <c r="F18" s="148"/>
      <c r="G18" s="148"/>
      <c r="H18" s="131"/>
      <c r="I18" s="131"/>
      <c r="J18" s="131"/>
      <c r="K18" s="131"/>
      <c r="L18" s="131"/>
      <c r="M18" s="148"/>
      <c r="N18" s="137"/>
    </row>
    <row r="19" spans="2:14" ht="45" customHeight="1">
      <c r="B19" s="152"/>
      <c r="C19" s="154" t="str">
        <f>IFERROR(VLOOKUP(B19, Base_numéro!A:B, 2, FALSE), "")</f>
        <v/>
      </c>
      <c r="D19" s="131"/>
      <c r="E19" s="131"/>
      <c r="F19" s="148"/>
      <c r="G19" s="148"/>
      <c r="H19" s="131"/>
      <c r="I19" s="131"/>
      <c r="J19" s="131"/>
      <c r="K19" s="131"/>
      <c r="L19" s="131"/>
      <c r="M19" s="148"/>
      <c r="N19" s="137"/>
    </row>
    <row r="20" spans="2:14" ht="45" customHeight="1">
      <c r="B20" s="152"/>
      <c r="C20" s="154" t="str">
        <f>IFERROR(VLOOKUP(B20, Base_numéro!A:B, 2, FALSE), "")</f>
        <v/>
      </c>
      <c r="D20" s="131"/>
      <c r="E20" s="131"/>
      <c r="F20" s="148"/>
      <c r="G20" s="148"/>
      <c r="H20" s="131"/>
      <c r="I20" s="131"/>
      <c r="J20" s="131"/>
      <c r="K20" s="131"/>
      <c r="L20" s="131"/>
      <c r="M20" s="148"/>
      <c r="N20" s="137"/>
    </row>
  </sheetData>
  <sheetProtection sheet="1" objects="1" scenarios="1" formatCells="0" formatColumns="0" formatRows="0" insertRows="0" deleteRows="0" sort="0" autoFilter="0"/>
  <mergeCells count="1">
    <mergeCell ref="B3:N3"/>
  </mergeCells>
  <pageMargins left="0.7" right="0.7" top="0.75" bottom="0.75" header="0.3" footer="0.3"/>
  <pageSetup paperSize="9" orientation="portrait" horizontalDpi="200" verticalDpi="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956F5B3-C3E9-4203-AB9B-D7BC4F343282}">
          <x14:formula1>
            <xm:f>'Base Novembre'!$E$2:$E$24</xm:f>
          </x14:formula1>
          <xm:sqref>N5:N20</xm:sqref>
        </x14:dataValidation>
        <x14:dataValidation type="list" allowBlank="1" showInputMessage="1" showErrorMessage="1" xr:uid="{38865398-5CB6-47D8-992E-EA8E41C207E4}">
          <x14:formula1>
            <xm:f>'Base Novembre'!$A$2:$A$22</xm:f>
          </x14:formula1>
          <xm:sqref>B5:B20</xm:sqref>
        </x14:dataValidation>
        <x14:dataValidation type="list" allowBlank="1" showInputMessage="1" showErrorMessage="1" xr:uid="{85F64D89-DCB7-4D16-BEB4-DAF90F7BC016}">
          <x14:formula1>
            <xm:f>'Base Janvier'!$A$2:$A$15</xm:f>
          </x14:formula1>
          <xm:sqref>B1</xm:sqref>
        </x14:dataValidation>
        <x14:dataValidation type="list" allowBlank="1" showInputMessage="1" showErrorMessage="1" xr:uid="{6F635C59-8349-4ABB-AEA0-A172570175B0}">
          <x14:formula1>
            <xm:f>'Base Mois'!$A$2:$A$13</xm:f>
          </x14:formula1>
          <xm:sqref>B3</xm:sqref>
        </x14:dataValidation>
        <x14:dataValidation type="list" allowBlank="1" showInputMessage="1" showErrorMessage="1" xr:uid="{0DE53D80-C016-44BF-8C08-660AA861BDCD}">
          <x14:formula1>
            <xm:f>'Base Janvier'!$E$2:$E$24</xm:f>
          </x14:formula1>
          <xm:sqref>L1:L2 L21:L1048576</xm:sqref>
        </x14:dataValidation>
        <x14:dataValidation type="list" allowBlank="1" showInputMessage="1" showErrorMessage="1" xr:uid="{78A961FB-EC71-44A4-BE8A-D21AC07C6FBA}">
          <x14:formula1>
            <xm:f>'Base Janvier'!$A$2:$A$22</xm:f>
          </x14:formula1>
          <xm:sqref>B21:B1048576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AFBD-93B6-4844-9A20-C69D099DD3B1}">
  <dimension ref="B1:N20"/>
  <sheetViews>
    <sheetView showGridLines="0" topLeftCell="B1" zoomScale="55" zoomScaleNormal="55" workbookViewId="0">
      <selection activeCell="N7" sqref="N7"/>
    </sheetView>
  </sheetViews>
  <sheetFormatPr defaultColWidth="11.42578125" defaultRowHeight="15"/>
  <cols>
    <col min="2" max="2" width="49.42578125" style="84" bestFit="1" customWidth="1"/>
    <col min="3" max="14" width="35.7109375" style="84" customWidth="1"/>
  </cols>
  <sheetData>
    <row r="1" spans="2:14">
      <c r="C1"/>
    </row>
    <row r="2" spans="2:14" ht="31.5" customHeight="1">
      <c r="C2" s="4"/>
      <c r="D2" s="101"/>
      <c r="E2" s="101"/>
      <c r="F2" s="101"/>
      <c r="G2" s="101"/>
      <c r="H2" s="101"/>
    </row>
    <row r="3" spans="2:14" ht="28.5">
      <c r="B3" s="286" t="s">
        <v>1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</row>
    <row r="4" spans="2:14" ht="45" customHeight="1">
      <c r="B4" s="102" t="s">
        <v>122</v>
      </c>
      <c r="C4" s="3" t="s">
        <v>123</v>
      </c>
      <c r="D4" s="85" t="s">
        <v>124</v>
      </c>
      <c r="E4" s="85" t="s">
        <v>125</v>
      </c>
      <c r="F4" s="85" t="s">
        <v>126</v>
      </c>
      <c r="G4" s="85" t="s">
        <v>127</v>
      </c>
      <c r="H4" s="85" t="s">
        <v>128</v>
      </c>
      <c r="I4" s="85" t="s">
        <v>129</v>
      </c>
      <c r="J4" s="85" t="s">
        <v>130</v>
      </c>
      <c r="K4" s="85" t="s">
        <v>131</v>
      </c>
      <c r="L4" s="86" t="s">
        <v>132</v>
      </c>
      <c r="M4" s="86" t="s">
        <v>133</v>
      </c>
      <c r="N4" s="87" t="s">
        <v>134</v>
      </c>
    </row>
    <row r="5" spans="2:14" ht="45" customHeight="1">
      <c r="B5" s="159" t="s">
        <v>74</v>
      </c>
      <c r="C5" s="140">
        <f>IFERROR(VLOOKUP(B5, Base_numéro!A:B, 2, FALSE), "")</f>
        <v>620024461</v>
      </c>
      <c r="D5" s="143" t="s">
        <v>140</v>
      </c>
      <c r="E5" s="143" t="s">
        <v>141</v>
      </c>
      <c r="F5" s="144">
        <v>44159</v>
      </c>
      <c r="G5" s="144" t="s">
        <v>54</v>
      </c>
      <c r="H5" s="143" t="s">
        <v>142</v>
      </c>
      <c r="I5" s="108"/>
      <c r="J5" s="143" t="s">
        <v>143</v>
      </c>
      <c r="K5" s="143" t="s">
        <v>144</v>
      </c>
      <c r="L5" s="109"/>
      <c r="M5" s="110" t="s">
        <v>172</v>
      </c>
      <c r="N5" s="132" t="s">
        <v>107</v>
      </c>
    </row>
    <row r="6" spans="2:14" ht="45" customHeight="1">
      <c r="B6" s="159" t="s">
        <v>69</v>
      </c>
      <c r="C6" s="140">
        <f>IFERROR(VLOOKUP(B6, Base_numéro!A:B, 2, FALSE), "")</f>
        <v>612938590</v>
      </c>
      <c r="D6" s="108" t="s">
        <v>135</v>
      </c>
      <c r="E6" s="108" t="s">
        <v>136</v>
      </c>
      <c r="F6" s="112">
        <v>45009</v>
      </c>
      <c r="G6" s="113" t="s">
        <v>137</v>
      </c>
      <c r="H6" s="108"/>
      <c r="I6" s="108"/>
      <c r="J6" s="108" t="s">
        <v>138</v>
      </c>
      <c r="K6" s="108" t="s">
        <v>139</v>
      </c>
      <c r="L6" s="109"/>
      <c r="M6" s="110"/>
      <c r="N6" s="160" t="s">
        <v>102</v>
      </c>
    </row>
    <row r="7" spans="2:14" ht="45" customHeight="1">
      <c r="B7" s="152"/>
      <c r="C7" s="151" t="str">
        <f>IFERROR(VLOOKUP(B7, Base_numéro!A:B, 2, FALSE), "")</f>
        <v/>
      </c>
      <c r="D7" s="192"/>
      <c r="E7" s="193"/>
      <c r="F7" s="148"/>
      <c r="G7" s="148"/>
      <c r="H7" s="131"/>
      <c r="I7" s="131"/>
      <c r="J7" s="131"/>
      <c r="K7" s="194"/>
      <c r="L7" s="97"/>
      <c r="M7" s="195"/>
      <c r="N7" s="196"/>
    </row>
    <row r="8" spans="2:14" ht="45" customHeight="1">
      <c r="B8" s="152"/>
      <c r="C8" s="151" t="str">
        <f>IFERROR(VLOOKUP(B8, Base_numéro!A:B, 2, FALSE), "")</f>
        <v/>
      </c>
      <c r="D8" s="131"/>
      <c r="E8" s="131"/>
      <c r="F8" s="148"/>
      <c r="G8" s="148"/>
      <c r="H8" s="131"/>
      <c r="I8" s="197"/>
      <c r="J8" s="131"/>
      <c r="K8" s="131"/>
      <c r="L8" s="131"/>
      <c r="M8" s="195"/>
      <c r="N8" s="138"/>
    </row>
    <row r="9" spans="2:14" ht="45" customHeight="1">
      <c r="B9" s="152"/>
      <c r="C9" s="151" t="str">
        <f>IFERROR(VLOOKUP(B9, Base_numéro!A:B, 2, FALSE), "")</f>
        <v/>
      </c>
      <c r="D9" s="131"/>
      <c r="E9" s="131"/>
      <c r="F9" s="148"/>
      <c r="G9" s="148"/>
      <c r="H9" s="131"/>
      <c r="I9" s="131"/>
      <c r="J9" s="131"/>
      <c r="K9" s="131"/>
      <c r="L9" s="131"/>
      <c r="M9" s="148"/>
      <c r="N9" s="138"/>
    </row>
    <row r="10" spans="2:14" ht="45" customHeight="1">
      <c r="B10" s="153"/>
      <c r="C10" s="151" t="str">
        <f>IFERROR(VLOOKUP(B10, Base_numéro!A:B, 2, FALSE), "")</f>
        <v/>
      </c>
      <c r="D10" s="149"/>
      <c r="E10" s="149"/>
      <c r="F10" s="150"/>
      <c r="G10" s="150"/>
      <c r="H10" s="149"/>
      <c r="I10" s="149"/>
      <c r="J10" s="149"/>
      <c r="K10" s="149"/>
      <c r="L10" s="131"/>
      <c r="M10" s="150"/>
      <c r="N10" s="139"/>
    </row>
    <row r="11" spans="2:14" ht="45" customHeight="1">
      <c r="B11" s="152"/>
      <c r="C11" s="151" t="str">
        <f>IFERROR(VLOOKUP(B11, Base_numéro!A:B, 2, FALSE), "")</f>
        <v/>
      </c>
      <c r="D11" s="131"/>
      <c r="E11" s="131"/>
      <c r="F11" s="148"/>
      <c r="G11" s="148"/>
      <c r="H11" s="131"/>
      <c r="I11" s="131"/>
      <c r="J11" s="131"/>
      <c r="K11" s="131"/>
      <c r="L11" s="131"/>
      <c r="M11" s="148"/>
      <c r="N11" s="137"/>
    </row>
    <row r="12" spans="2:14" ht="45" customHeight="1">
      <c r="B12" s="152"/>
      <c r="C12" s="154" t="str">
        <f>IFERROR(VLOOKUP(B12, Base_numéro!A:B, 2, FALSE), "")</f>
        <v/>
      </c>
      <c r="D12" s="131"/>
      <c r="E12" s="131"/>
      <c r="F12" s="148"/>
      <c r="G12" s="148"/>
      <c r="H12" s="131"/>
      <c r="I12" s="131"/>
      <c r="J12" s="131"/>
      <c r="K12" s="131"/>
      <c r="L12" s="131"/>
      <c r="M12" s="148"/>
      <c r="N12" s="137"/>
    </row>
    <row r="13" spans="2:14" ht="45" customHeight="1">
      <c r="B13" s="152"/>
      <c r="C13" s="154" t="str">
        <f>IFERROR(VLOOKUP(B13, Base_numéro!A:B, 2, FALSE), "")</f>
        <v/>
      </c>
      <c r="D13" s="131"/>
      <c r="E13" s="131"/>
      <c r="F13" s="148"/>
      <c r="G13" s="148"/>
      <c r="H13" s="131"/>
      <c r="I13" s="131"/>
      <c r="J13" s="131"/>
      <c r="K13" s="131"/>
      <c r="L13" s="131"/>
      <c r="M13" s="148"/>
      <c r="N13" s="137"/>
    </row>
    <row r="14" spans="2:14" ht="45" customHeight="1">
      <c r="B14" s="152"/>
      <c r="C14" s="154" t="str">
        <f>IFERROR(VLOOKUP(B14, Base_numéro!A:B, 2, FALSE), "")</f>
        <v/>
      </c>
      <c r="D14" s="131"/>
      <c r="E14" s="131"/>
      <c r="F14" s="148"/>
      <c r="G14" s="148"/>
      <c r="H14" s="131"/>
      <c r="I14" s="131"/>
      <c r="J14" s="131"/>
      <c r="K14" s="131"/>
      <c r="L14" s="131"/>
      <c r="M14" s="148"/>
      <c r="N14" s="137"/>
    </row>
    <row r="15" spans="2:14" ht="45" customHeight="1">
      <c r="B15" s="152"/>
      <c r="C15" s="154" t="str">
        <f>IFERROR(VLOOKUP(B15, Base_numéro!A:B, 2, FALSE), "")</f>
        <v/>
      </c>
      <c r="D15" s="131"/>
      <c r="E15" s="131"/>
      <c r="F15" s="148"/>
      <c r="G15" s="148"/>
      <c r="H15" s="131"/>
      <c r="I15" s="131"/>
      <c r="J15" s="131"/>
      <c r="K15" s="131"/>
      <c r="L15" s="131"/>
      <c r="M15" s="148"/>
      <c r="N15" s="137"/>
    </row>
    <row r="16" spans="2:14" ht="45" customHeight="1">
      <c r="B16" s="152"/>
      <c r="C16" s="154" t="str">
        <f>IFERROR(VLOOKUP(B16, Base_numéro!A:B, 2, FALSE), "")</f>
        <v/>
      </c>
      <c r="D16" s="131"/>
      <c r="E16" s="131"/>
      <c r="F16" s="148"/>
      <c r="G16" s="148"/>
      <c r="H16" s="131"/>
      <c r="I16" s="131"/>
      <c r="J16" s="131"/>
      <c r="K16" s="131"/>
      <c r="L16" s="131"/>
      <c r="M16" s="148"/>
      <c r="N16" s="137"/>
    </row>
    <row r="17" spans="2:14" ht="45" customHeight="1">
      <c r="B17" s="152"/>
      <c r="C17" s="154" t="str">
        <f>IFERROR(VLOOKUP(B17, Base_numéro!A:B, 2, FALSE), "")</f>
        <v/>
      </c>
      <c r="D17" s="131"/>
      <c r="E17" s="131"/>
      <c r="F17" s="148"/>
      <c r="G17" s="148"/>
      <c r="H17" s="131"/>
      <c r="I17" s="131"/>
      <c r="J17" s="131"/>
      <c r="K17" s="131"/>
      <c r="L17" s="131"/>
      <c r="M17" s="148"/>
      <c r="N17" s="137"/>
    </row>
    <row r="18" spans="2:14" ht="45" customHeight="1">
      <c r="B18" s="152"/>
      <c r="C18" s="154" t="str">
        <f>IFERROR(VLOOKUP(B18, Base_numéro!A:B, 2, FALSE), "")</f>
        <v/>
      </c>
      <c r="D18" s="131"/>
      <c r="E18" s="131"/>
      <c r="F18" s="148"/>
      <c r="G18" s="148"/>
      <c r="H18" s="131"/>
      <c r="I18" s="131"/>
      <c r="J18" s="131"/>
      <c r="K18" s="131"/>
      <c r="L18" s="131"/>
      <c r="M18" s="148"/>
      <c r="N18" s="137"/>
    </row>
    <row r="19" spans="2:14" ht="45" customHeight="1">
      <c r="B19" s="152"/>
      <c r="C19" s="154" t="str">
        <f>IFERROR(VLOOKUP(B19, Base_numéro!A:B, 2, FALSE), "")</f>
        <v/>
      </c>
      <c r="D19" s="131"/>
      <c r="E19" s="131"/>
      <c r="F19" s="148"/>
      <c r="G19" s="148"/>
      <c r="H19" s="131"/>
      <c r="I19" s="131"/>
      <c r="J19" s="131"/>
      <c r="K19" s="131"/>
      <c r="L19" s="131"/>
      <c r="M19" s="148"/>
      <c r="N19" s="137"/>
    </row>
    <row r="20" spans="2:14" ht="45" customHeight="1">
      <c r="B20" s="152"/>
      <c r="C20" s="154" t="str">
        <f>IFERROR(VLOOKUP(B20, Base_numéro!A:B, 2, FALSE), "")</f>
        <v/>
      </c>
      <c r="D20" s="131"/>
      <c r="E20" s="131"/>
      <c r="F20" s="148"/>
      <c r="G20" s="148"/>
      <c r="H20" s="131"/>
      <c r="I20" s="131"/>
      <c r="J20" s="131"/>
      <c r="K20" s="131"/>
      <c r="L20" s="131"/>
      <c r="M20" s="148"/>
      <c r="N20" s="137"/>
    </row>
  </sheetData>
  <sheetProtection algorithmName="SHA-512" hashValue="hx4a6pMSOQiy2SesTK73FBAOtJvvZe+xEnnT43D3j4WGVL+QZmoZnddB2hps2iLsuVzw6NHgo5WFTU3uBL5oZg==" saltValue="O3/wqPkJtA96HzeB230LVQ==" spinCount="100000" sheet="1" objects="1" scenarios="1" formatCells="0" formatColumns="0" formatRows="0" insertRows="0" deleteRows="0" sort="0" autoFilter="0"/>
  <protectedRanges>
    <protectedRange algorithmName="SHA-512" hashValue="+ziVVHpFhO3RpH+IY/tPMwwGCuOwY+Yo/UvdIYWxYVkZYftL7xjimRp4IN38PigsSjj9UMWliG8jBWztVNtT9Q==" saltValue="H4WJeBwPGZDMtTIBRh1vUw==" spinCount="100000" sqref="D5:N20 B5:B20" name="Plage1" securityDescriptor="O:WDG:WDD:(A;;CC;;;WD)"/>
  </protectedRanges>
  <mergeCells count="1">
    <mergeCell ref="B3:N3"/>
  </mergeCells>
  <pageMargins left="0.7" right="0.7" top="0.75" bottom="0.75" header="0.3" footer="0.3"/>
  <pageSetup paperSize="9" orientation="portrait" horizontalDpi="200" verticalDpi="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A55B307-7742-4D75-ADD8-4991C93C2893}">
          <x14:formula1>
            <xm:f>'Base Janvier'!$A$2:$A$22</xm:f>
          </x14:formula1>
          <xm:sqref>B21:B1048576</xm:sqref>
        </x14:dataValidation>
        <x14:dataValidation type="list" allowBlank="1" showInputMessage="1" showErrorMessage="1" xr:uid="{86A356E1-DF2B-441A-BB2C-DD5DB4F33287}">
          <x14:formula1>
            <xm:f>'Base Janvier'!$E$2:$E$24</xm:f>
          </x14:formula1>
          <xm:sqref>L1:L2 L21:L1048576</xm:sqref>
        </x14:dataValidation>
        <x14:dataValidation type="list" allowBlank="1" showInputMessage="1" showErrorMessage="1" xr:uid="{EC74BD6A-C694-4BFB-B12F-1107049AC44F}">
          <x14:formula1>
            <xm:f>'Base Mois'!$A$2:$A$13</xm:f>
          </x14:formula1>
          <xm:sqref>B3</xm:sqref>
        </x14:dataValidation>
        <x14:dataValidation type="list" allowBlank="1" showInputMessage="1" showErrorMessage="1" xr:uid="{DB49DA2B-EC12-462C-AB36-9522351843D2}">
          <x14:formula1>
            <xm:f>'Base Janvier'!$A$2:$A$15</xm:f>
          </x14:formula1>
          <xm:sqref>B1</xm:sqref>
        </x14:dataValidation>
        <x14:dataValidation type="list" allowBlank="1" showInputMessage="1" showErrorMessage="1" xr:uid="{D5CE14C5-F382-4437-9CAF-72E590F5B95C}">
          <x14:formula1>
            <xm:f>'Base Décembre'!$A$2:$A$22</xm:f>
          </x14:formula1>
          <xm:sqref>B5:B20</xm:sqref>
        </x14:dataValidation>
        <x14:dataValidation type="list" allowBlank="1" showInputMessage="1" showErrorMessage="1" xr:uid="{F626FF0B-C282-428C-B526-EC4D96F461C3}">
          <x14:formula1>
            <xm:f>'Base Décembre'!$E$2:$E$24</xm:f>
          </x14:formula1>
          <xm:sqref>N5:N20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c77ff5-1930-45c5-ad97-6fb34d6aa975">
      <Terms xmlns="http://schemas.microsoft.com/office/infopath/2007/PartnerControls"/>
    </lcf76f155ced4ddcb4097134ff3c332f>
    <TaxCatchAll xmlns="ca546d91-2d68-4fdc-aa00-c31ebb93430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EB6533633B0D4FBAB846025C247A51" ma:contentTypeVersion="18" ma:contentTypeDescription="Crée un document." ma:contentTypeScope="" ma:versionID="b79ac1edf6bc65379f978414321f152d">
  <xsd:schema xmlns:xsd="http://www.w3.org/2001/XMLSchema" xmlns:xs="http://www.w3.org/2001/XMLSchema" xmlns:p="http://schemas.microsoft.com/office/2006/metadata/properties" xmlns:ns2="1dc77ff5-1930-45c5-ad97-6fb34d6aa975" xmlns:ns3="ca546d91-2d68-4fdc-aa00-c31ebb93430f" targetNamespace="http://schemas.microsoft.com/office/2006/metadata/properties" ma:root="true" ma:fieldsID="68e95172ab39adb7bcb0624e0aa65da4" ns2:_="" ns3:_="">
    <xsd:import namespace="1dc77ff5-1930-45c5-ad97-6fb34d6aa975"/>
    <xsd:import namespace="ca546d91-2d68-4fdc-aa00-c31ebb934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c77ff5-1930-45c5-ad97-6fb34d6aa9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546d91-2d68-4fdc-aa00-c31ebb9343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fe8e987-fdcf-43ac-8485-8196e4422990}" ma:internalName="TaxCatchAll" ma:showField="CatchAllData" ma:web="ca546d91-2d68-4fdc-aa00-c31ebb934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8970E1-B708-4B74-9B37-41EA5AD6FBF6}"/>
</file>

<file path=customXml/itemProps2.xml><?xml version="1.0" encoding="utf-8"?>
<ds:datastoreItem xmlns:ds="http://schemas.openxmlformats.org/officeDocument/2006/customXml" ds:itemID="{4A461701-8B34-4243-82C4-4647C78D5D03}"/>
</file>

<file path=customXml/itemProps3.xml><?xml version="1.0" encoding="utf-8"?>
<ds:datastoreItem xmlns:ds="http://schemas.openxmlformats.org/officeDocument/2006/customXml" ds:itemID="{3280AB72-7224-4D02-8419-BD2657DE7739}"/>
</file>

<file path=docMetadata/LabelInfo.xml><?xml version="1.0" encoding="utf-8"?>
<clbl:labelList xmlns:clbl="http://schemas.microsoft.com/office/2020/mipLabelMetadata">
  <clbl:label id="{6c04a875-6eb2-484b-a14b-e2519851b720}" enabled="1" method="Standard" siteId="{14cb4ab4-62b8-45a2-a944-e225383ee1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BRGM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3150 Help-Desk</dc:creator>
  <cp:keywords/>
  <dc:description/>
  <cp:lastModifiedBy/>
  <cp:revision/>
  <dcterms:created xsi:type="dcterms:W3CDTF">2021-03-22T11:43:19Z</dcterms:created>
  <dcterms:modified xsi:type="dcterms:W3CDTF">2026-02-12T08:20:59Z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0x01010092EB6533633B0D4FBAB846025C247A51</vt:lpwstr>
  </property>
  <property fmtid="{D5CDD505-2E9C-101B-9397-08002B2CF9AE}" pid="3" name="MediaServiceImageTags">
    <vt:lpwstr/>
  </property>
</Properties>
</file>